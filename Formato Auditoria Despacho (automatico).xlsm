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isthian.dimate\Documents\"/>
    </mc:Choice>
  </mc:AlternateContent>
  <xr:revisionPtr revIDLastSave="0" documentId="10_ncr:100000_{D054B48C-A1EB-4F7C-B9F5-223C50D2ACD9}" xr6:coauthVersionLast="31" xr6:coauthVersionMax="31" xr10:uidLastSave="{00000000-0000-0000-0000-000000000000}"/>
  <bookViews>
    <workbookView xWindow="0" yWindow="0" windowWidth="20490" windowHeight="7755" xr2:uid="{00000000-000D-0000-FFFF-FFFF00000000}"/>
  </bookViews>
  <sheets>
    <sheet name="Auditoria Despacho automatico" sheetId="7" r:id="rId1"/>
    <sheet name="variables" sheetId="11" state="veryHidden" r:id="rId2"/>
    <sheet name="PEGAR ACA" sheetId="4" r:id="rId3"/>
    <sheet name="Auditoria Recibo automatico" sheetId="8" r:id="rId4"/>
    <sheet name="Hoja4" sheetId="5" state="veryHidden" r:id="rId5"/>
    <sheet name="Hoja2" sheetId="3" state="veryHidden" r:id="rId6"/>
  </sheets>
  <definedNames>
    <definedName name="_xlnm._FilterDatabase" localSheetId="4" hidden="1">Hoja4!$C$1:$C$106</definedName>
    <definedName name="_xlnm.Print_Area" localSheetId="0">'Auditoria Despacho automatico'!$C$1:$AQ$29</definedName>
    <definedName name="_xlnm.Print_Area" localSheetId="3">'Auditoria Recibo automatico'!$C$1:$AO$38</definedName>
    <definedName name="AUDITOR" localSheetId="3">Tabla4[AUDITOR]</definedName>
    <definedName name="AUDITOR">Tabla4[AUDITOR]</definedName>
    <definedName name="LISTA_DE_TIENDAS" localSheetId="3">Tabla3[]</definedName>
    <definedName name="LISTA_DE_TIENDAS">Tabla3[]</definedName>
    <definedName name="PROYECCION" localSheetId="3">Tabla1[]</definedName>
    <definedName name="PROYECCION">Tabla1[]</definedName>
    <definedName name="rango_1">INDIRECT('PEGAR ACA'!A1048567,TRUE)</definedName>
    <definedName name="rango2">INDIRECT('Auditoria Despacho automatico'!$AT$6)</definedName>
    <definedName name="rango3">INDIRECT('Auditoria Despacho automatico'!$AV$60)</definedName>
    <definedName name="tamaño_tabla">'PEGAR ACA'!$M$3</definedName>
    <definedName name="TIPO_TIENDA" localSheetId="3">Tabla2[#All]</definedName>
    <definedName name="TIPO_TIENDA">Tabla2[#All]</definedName>
  </definedNames>
  <calcPr calcId="179017"/>
</workbook>
</file>

<file path=xl/calcChain.xml><?xml version="1.0" encoding="utf-8"?>
<calcChain xmlns="http://schemas.openxmlformats.org/spreadsheetml/2006/main">
  <c r="C6" i="7" l="1"/>
  <c r="C8" i="7"/>
  <c r="C10" i="7"/>
  <c r="C12" i="7"/>
  <c r="C14" i="7"/>
  <c r="C16" i="7"/>
  <c r="C19" i="7"/>
  <c r="C22" i="7"/>
  <c r="C24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AT17" i="7" a="1"/>
  <c r="AT17" i="7" s="1"/>
  <c r="AU17" i="7"/>
  <c r="AT19" i="7" a="1"/>
  <c r="AT19" i="7" s="1"/>
  <c r="AU19" i="7"/>
  <c r="AT25" i="7" a="1"/>
  <c r="AT25" i="7" s="1"/>
  <c r="AU25" i="7"/>
  <c r="A6" i="7"/>
  <c r="B6" i="7"/>
  <c r="D6" i="7" s="1"/>
  <c r="A7" i="7"/>
  <c r="C7" i="7" s="1"/>
  <c r="B7" i="7"/>
  <c r="D7" i="7" s="1"/>
  <c r="A8" i="7"/>
  <c r="B8" i="7"/>
  <c r="D8" i="7" s="1"/>
  <c r="A9" i="7"/>
  <c r="C9" i="7" s="1"/>
  <c r="B9" i="7"/>
  <c r="D9" i="7" s="1"/>
  <c r="A10" i="7"/>
  <c r="B10" i="7"/>
  <c r="D10" i="7" s="1"/>
  <c r="A11" i="7"/>
  <c r="C11" i="7" s="1"/>
  <c r="B11" i="7"/>
  <c r="D11" i="7" s="1"/>
  <c r="A12" i="7"/>
  <c r="B12" i="7"/>
  <c r="D12" i="7" s="1"/>
  <c r="A13" i="7"/>
  <c r="C13" i="7" s="1"/>
  <c r="B13" i="7"/>
  <c r="D13" i="7" s="1"/>
  <c r="A14" i="7"/>
  <c r="B14" i="7"/>
  <c r="D14" i="7" s="1"/>
  <c r="A15" i="7"/>
  <c r="C15" i="7" s="1"/>
  <c r="B15" i="7"/>
  <c r="D15" i="7" s="1"/>
  <c r="A16" i="7"/>
  <c r="B16" i="7"/>
  <c r="D16" i="7" s="1"/>
  <c r="A18" i="7"/>
  <c r="C17" i="7" s="1"/>
  <c r="B18" i="7"/>
  <c r="A20" i="7"/>
  <c r="B20" i="7"/>
  <c r="D19" i="7" s="1"/>
  <c r="A21" i="7"/>
  <c r="C21" i="7" s="1"/>
  <c r="B21" i="7"/>
  <c r="D21" i="7" s="1"/>
  <c r="A22" i="7"/>
  <c r="B22" i="7"/>
  <c r="D22" i="7" s="1"/>
  <c r="A23" i="7"/>
  <c r="C23" i="7" s="1"/>
  <c r="B23" i="7"/>
  <c r="D23" i="7" s="1"/>
  <c r="A24" i="7"/>
  <c r="B24" i="7"/>
  <c r="D24" i="7" s="1"/>
  <c r="A26" i="7"/>
  <c r="C25" i="7" s="1"/>
  <c r="B26" i="7"/>
  <c r="A27" i="7"/>
  <c r="B27" i="7"/>
  <c r="D27" i="7" s="1"/>
  <c r="A28" i="7"/>
  <c r="C28" i="7" s="1"/>
  <c r="B28" i="7"/>
  <c r="A29" i="7"/>
  <c r="B29" i="7"/>
  <c r="D29" i="7" s="1"/>
  <c r="A30" i="7"/>
  <c r="C30" i="7" s="1"/>
  <c r="B30" i="7"/>
  <c r="A31" i="7"/>
  <c r="B31" i="7"/>
  <c r="A32" i="7"/>
  <c r="C32" i="7" s="1"/>
  <c r="B32" i="7"/>
  <c r="A33" i="7"/>
  <c r="B33" i="7"/>
  <c r="D33" i="7" s="1"/>
  <c r="A34" i="7"/>
  <c r="C34" i="7" s="1"/>
  <c r="B34" i="7"/>
  <c r="A35" i="7"/>
  <c r="B35" i="7"/>
  <c r="D35" i="7" s="1"/>
  <c r="A36" i="7"/>
  <c r="C36" i="7" s="1"/>
  <c r="B36" i="7"/>
  <c r="A37" i="7"/>
  <c r="B37" i="7"/>
  <c r="D37" i="7" s="1"/>
  <c r="A38" i="7"/>
  <c r="C38" i="7" s="1"/>
  <c r="B38" i="7"/>
  <c r="A39" i="7"/>
  <c r="B39" i="7"/>
  <c r="A40" i="7"/>
  <c r="C40" i="7" s="1"/>
  <c r="B40" i="7"/>
  <c r="A41" i="7"/>
  <c r="B41" i="7"/>
  <c r="D41" i="7" s="1"/>
  <c r="A42" i="7"/>
  <c r="C42" i="7" s="1"/>
  <c r="B42" i="7"/>
  <c r="A43" i="7"/>
  <c r="B43" i="7"/>
  <c r="A44" i="7"/>
  <c r="C44" i="7" s="1"/>
  <c r="B44" i="7"/>
  <c r="D44" i="7" s="1"/>
  <c r="A45" i="7"/>
  <c r="B45" i="7"/>
  <c r="D45" i="7" s="1"/>
  <c r="A46" i="7"/>
  <c r="C46" i="7" s="1"/>
  <c r="B46" i="7"/>
  <c r="A47" i="7"/>
  <c r="B47" i="7"/>
  <c r="A48" i="7"/>
  <c r="C48" i="7" s="1"/>
  <c r="B48" i="7"/>
  <c r="A49" i="7"/>
  <c r="B49" i="7"/>
  <c r="D49" i="7" s="1"/>
  <c r="A50" i="7"/>
  <c r="C50" i="7" s="1"/>
  <c r="B50" i="7"/>
  <c r="A51" i="7"/>
  <c r="B51" i="7"/>
  <c r="A52" i="7"/>
  <c r="C52" i="7" s="1"/>
  <c r="B52" i="7"/>
  <c r="A53" i="7"/>
  <c r="B53" i="7"/>
  <c r="D53" i="7" s="1"/>
  <c r="A54" i="7"/>
  <c r="C54" i="7" s="1"/>
  <c r="B54" i="7"/>
  <c r="A55" i="7"/>
  <c r="B55" i="7"/>
  <c r="A56" i="7"/>
  <c r="C56" i="7" s="1"/>
  <c r="B56" i="7"/>
  <c r="D56" i="7" s="1"/>
  <c r="A57" i="7"/>
  <c r="B57" i="7"/>
  <c r="D57" i="7" s="1"/>
  <c r="A58" i="7"/>
  <c r="C58" i="7" s="1"/>
  <c r="B58" i="7"/>
  <c r="A59" i="7"/>
  <c r="B59" i="7"/>
  <c r="A60" i="7"/>
  <c r="C60" i="7" s="1"/>
  <c r="B60" i="7"/>
  <c r="A61" i="7"/>
  <c r="B61" i="7"/>
  <c r="D61" i="7" s="1"/>
  <c r="A62" i="7"/>
  <c r="C62" i="7" s="1"/>
  <c r="B62" i="7"/>
  <c r="A63" i="7"/>
  <c r="B63" i="7"/>
  <c r="A64" i="7"/>
  <c r="C64" i="7" s="1"/>
  <c r="B64" i="7"/>
  <c r="D64" i="7" s="1"/>
  <c r="A65" i="7"/>
  <c r="B65" i="7"/>
  <c r="D65" i="7" s="1"/>
  <c r="A66" i="7"/>
  <c r="C66" i="7" s="1"/>
  <c r="B66" i="7"/>
  <c r="A67" i="7"/>
  <c r="B67" i="7"/>
  <c r="A68" i="7"/>
  <c r="C68" i="7" s="1"/>
  <c r="B68" i="7"/>
  <c r="A69" i="7"/>
  <c r="B69" i="7"/>
  <c r="D69" i="7" s="1"/>
  <c r="A70" i="7"/>
  <c r="C70" i="7" s="1"/>
  <c r="B70" i="7"/>
  <c r="A71" i="7"/>
  <c r="B71" i="7"/>
  <c r="A72" i="7"/>
  <c r="C72" i="7" s="1"/>
  <c r="B72" i="7"/>
  <c r="D72" i="7" s="1"/>
  <c r="A73" i="7"/>
  <c r="B73" i="7"/>
  <c r="D73" i="7" s="1"/>
  <c r="AW62" i="7" l="1"/>
  <c r="AW67" i="7"/>
  <c r="AW51" i="7"/>
  <c r="AW31" i="7"/>
  <c r="D71" i="7"/>
  <c r="AW71" i="7" s="1"/>
  <c r="D67" i="7"/>
  <c r="D63" i="7"/>
  <c r="AW63" i="7" s="1"/>
  <c r="D59" i="7"/>
  <c r="AW59" i="7" s="1"/>
  <c r="D55" i="7"/>
  <c r="AW55" i="7" s="1"/>
  <c r="D51" i="7"/>
  <c r="D47" i="7"/>
  <c r="AW47" i="7" s="1"/>
  <c r="D43" i="7"/>
  <c r="AW43" i="7" s="1"/>
  <c r="D39" i="7"/>
  <c r="AW39" i="7" s="1"/>
  <c r="D31" i="7"/>
  <c r="AW52" i="7"/>
  <c r="AW42" i="7"/>
  <c r="AW40" i="7"/>
  <c r="AW34" i="7"/>
  <c r="AW32" i="7"/>
  <c r="AW26" i="7"/>
  <c r="AW23" i="7"/>
  <c r="AW21" i="7"/>
  <c r="AW15" i="7"/>
  <c r="AW13" i="7"/>
  <c r="AW11" i="7"/>
  <c r="AW9" i="7"/>
  <c r="AW7" i="7"/>
  <c r="AW60" i="7"/>
  <c r="D70" i="7"/>
  <c r="AW70" i="7" s="1"/>
  <c r="D68" i="7"/>
  <c r="AW68" i="7" s="1"/>
  <c r="D66" i="7"/>
  <c r="AW66" i="7" s="1"/>
  <c r="D62" i="7"/>
  <c r="D60" i="7"/>
  <c r="D58" i="7"/>
  <c r="AW58" i="7" s="1"/>
  <c r="D54" i="7"/>
  <c r="AW54" i="7" s="1"/>
  <c r="D52" i="7"/>
  <c r="D50" i="7"/>
  <c r="AW50" i="7" s="1"/>
  <c r="D48" i="7"/>
  <c r="AW48" i="7" s="1"/>
  <c r="D46" i="7"/>
  <c r="AW46" i="7" s="1"/>
  <c r="D42" i="7"/>
  <c r="D40" i="7"/>
  <c r="D38" i="7"/>
  <c r="AW38" i="7" s="1"/>
  <c r="D36" i="7"/>
  <c r="AW36" i="7" s="1"/>
  <c r="D34" i="7"/>
  <c r="D32" i="7"/>
  <c r="D30" i="7"/>
  <c r="AW30" i="7" s="1"/>
  <c r="D28" i="7"/>
  <c r="AW28" i="7" s="1"/>
  <c r="D25" i="7"/>
  <c r="D17" i="7"/>
  <c r="AW18" i="7" s="1"/>
  <c r="AW72" i="7"/>
  <c r="AW64" i="7"/>
  <c r="AW56" i="7"/>
  <c r="AW44" i="7"/>
  <c r="AW73" i="7"/>
  <c r="AW69" i="7"/>
  <c r="AW65" i="7"/>
  <c r="AW61" i="7"/>
  <c r="AW57" i="7"/>
  <c r="AW53" i="7"/>
  <c r="AW49" i="7"/>
  <c r="AW45" i="7"/>
  <c r="AW41" i="7"/>
  <c r="AW37" i="7"/>
  <c r="AW35" i="7"/>
  <c r="AW33" i="7"/>
  <c r="AW29" i="7"/>
  <c r="AW27" i="7"/>
  <c r="AW24" i="7"/>
  <c r="AW22" i="7"/>
  <c r="AW20" i="7"/>
  <c r="AW16" i="7"/>
  <c r="AW14" i="7"/>
  <c r="AW12" i="7"/>
  <c r="AW10" i="7"/>
  <c r="AW8" i="7"/>
  <c r="AW6" i="7"/>
  <c r="AV25" i="7" l="1"/>
  <c r="AV19" i="7"/>
  <c r="AV17" i="7"/>
  <c r="AT10" i="7" l="1" a="1"/>
  <c r="AT10" i="7" s="1"/>
  <c r="AU10" i="7"/>
  <c r="AT32" i="7" a="1"/>
  <c r="AT32" i="7" s="1"/>
  <c r="AU32" i="7"/>
  <c r="AT8" i="7" l="1" a="1"/>
  <c r="AT8" i="7" s="1"/>
  <c r="AU8" i="7"/>
  <c r="AT12" i="7" a="1"/>
  <c r="AT12" i="7" s="1"/>
  <c r="AU12" i="7"/>
  <c r="AT23" i="7" a="1"/>
  <c r="AT23" i="7" s="1"/>
  <c r="AU23" i="7"/>
  <c r="AT33" i="7" l="1" a="1"/>
  <c r="AT33" i="7" s="1"/>
  <c r="AU33" i="7"/>
  <c r="AT38" i="7" a="1"/>
  <c r="AT38" i="7" s="1"/>
  <c r="AU38" i="7"/>
  <c r="AT13" i="7" l="1" a="1"/>
  <c r="AT13" i="7" s="1"/>
  <c r="AU13" i="7"/>
  <c r="AT51" i="7" a="1"/>
  <c r="AT51" i="7" s="1"/>
  <c r="AU51" i="7"/>
  <c r="AT53" i="7" a="1"/>
  <c r="AT53" i="7" s="1"/>
  <c r="AU53" i="7"/>
  <c r="AT54" i="7" a="1"/>
  <c r="AT54" i="7" s="1"/>
  <c r="AU54" i="7"/>
  <c r="AT24" i="7" l="1" a="1"/>
  <c r="AT24" i="7" s="1"/>
  <c r="AU24" i="7"/>
  <c r="AT14" i="7" l="1" a="1"/>
  <c r="AT14" i="7" s="1"/>
  <c r="AU14" i="7"/>
  <c r="AT42" i="7" a="1"/>
  <c r="AT42" i="7" s="1"/>
  <c r="AU42" i="7"/>
  <c r="AT43" i="7" a="1"/>
  <c r="AT43" i="7" s="1"/>
  <c r="AU43" i="7"/>
  <c r="AT9" i="7" l="1" a="1"/>
  <c r="AT9" i="7" s="1"/>
  <c r="AU9" i="7"/>
  <c r="AT16" i="7" a="1"/>
  <c r="AT16" i="7" s="1"/>
  <c r="AU16" i="7"/>
  <c r="AT29" i="7" l="1" a="1"/>
  <c r="AT29" i="7" s="1"/>
  <c r="AU29" i="7"/>
  <c r="AT31" i="7" a="1"/>
  <c r="AT31" i="7" s="1"/>
  <c r="AU31" i="7"/>
  <c r="AT41" i="7" a="1"/>
  <c r="AT41" i="7" s="1"/>
  <c r="AU41" i="7"/>
  <c r="AT48" i="7" a="1"/>
  <c r="AT48" i="7" s="1"/>
  <c r="AU48" i="7"/>
  <c r="AT49" i="7" a="1"/>
  <c r="AT49" i="7" s="1"/>
  <c r="AU49" i="7"/>
  <c r="AT52" i="7" a="1"/>
  <c r="AT52" i="7" s="1"/>
  <c r="AU52" i="7"/>
  <c r="AT18" i="7" l="1" a="1"/>
  <c r="AT18" i="7" s="1"/>
  <c r="AU18" i="7"/>
  <c r="AT30" i="7" a="1"/>
  <c r="AT30" i="7" s="1"/>
  <c r="AU30" i="7"/>
  <c r="AT20" i="7" l="1" a="1"/>
  <c r="AT20" i="7" s="1"/>
  <c r="AU20" i="7"/>
  <c r="AT36" i="7" l="1" a="1"/>
  <c r="AT36" i="7" s="1"/>
  <c r="AU36" i="7"/>
  <c r="AT39" i="7" a="1"/>
  <c r="AT39" i="7" s="1"/>
  <c r="AU39" i="7"/>
  <c r="AT47" i="7" a="1"/>
  <c r="AT47" i="7" s="1"/>
  <c r="AU47" i="7"/>
  <c r="AT55" i="7" a="1"/>
  <c r="AT55" i="7" s="1"/>
  <c r="AU55" i="7"/>
  <c r="D23" i="4"/>
  <c r="E23" i="4" s="1" a="1"/>
  <c r="E23" i="4" s="1"/>
  <c r="G23" i="4" a="1"/>
  <c r="G23" i="4" s="1"/>
  <c r="AT35" i="7" l="1" a="1"/>
  <c r="AT35" i="7" s="1"/>
  <c r="AU35" i="7"/>
  <c r="AT40" i="7" a="1"/>
  <c r="AT40" i="7" s="1"/>
  <c r="AU40" i="7"/>
  <c r="AT56" i="7" a="1"/>
  <c r="AT56" i="7" s="1"/>
  <c r="AU56" i="7"/>
  <c r="AT58" i="7" a="1"/>
  <c r="AT58" i="7" s="1"/>
  <c r="AU58" i="7"/>
  <c r="AT21" i="7" l="1" a="1"/>
  <c r="AT21" i="7" s="1"/>
  <c r="AU21" i="7"/>
  <c r="AT22" i="7" l="1" a="1"/>
  <c r="AT22" i="7" s="1"/>
  <c r="AU22" i="7"/>
  <c r="AT26" i="7" l="1" a="1"/>
  <c r="AT26" i="7" s="1"/>
  <c r="AU26" i="7"/>
  <c r="AT59" i="7" l="1" a="1"/>
  <c r="AT59" i="7" s="1"/>
  <c r="AU59" i="7"/>
  <c r="D15" i="4" l="1"/>
  <c r="E15" i="4" s="1" a="1"/>
  <c r="E15" i="4" s="1"/>
  <c r="D16" i="4"/>
  <c r="E16" i="4" s="1" a="1"/>
  <c r="E16" i="4" s="1"/>
  <c r="D17" i="4"/>
  <c r="E17" i="4" s="1" a="1"/>
  <c r="E17" i="4" s="1"/>
  <c r="D18" i="4"/>
  <c r="E18" i="4" s="1" a="1"/>
  <c r="E18" i="4" s="1"/>
  <c r="D19" i="4"/>
  <c r="E19" i="4" s="1" a="1"/>
  <c r="E19" i="4" s="1"/>
  <c r="D20" i="4"/>
  <c r="E20" i="4" s="1" a="1"/>
  <c r="E20" i="4" s="1"/>
  <c r="D21" i="4"/>
  <c r="E21" i="4" s="1" a="1"/>
  <c r="E21" i="4" s="1"/>
  <c r="D22" i="4"/>
  <c r="E22" i="4" s="1" a="1"/>
  <c r="E22" i="4" s="1"/>
  <c r="G15" i="4" a="1"/>
  <c r="G15" i="4" s="1"/>
  <c r="G16" i="4" a="1"/>
  <c r="G16" i="4" s="1"/>
  <c r="G17" i="4" a="1"/>
  <c r="G17" i="4" s="1"/>
  <c r="G18" i="4" a="1"/>
  <c r="G18" i="4" s="1"/>
  <c r="G19" i="4" a="1"/>
  <c r="G19" i="4" s="1"/>
  <c r="G20" i="4" a="1"/>
  <c r="G20" i="4" s="1"/>
  <c r="G21" i="4" a="1"/>
  <c r="G21" i="4" s="1"/>
  <c r="G22" i="4" a="1"/>
  <c r="G22" i="4" s="1"/>
  <c r="AT27" i="7" l="1" a="1"/>
  <c r="AT27" i="7" s="1"/>
  <c r="AU27" i="7"/>
  <c r="AT57" i="7" a="1"/>
  <c r="AT57" i="7" s="1"/>
  <c r="AU57" i="7"/>
  <c r="AT28" i="7" l="1" a="1"/>
  <c r="AT28" i="7" s="1"/>
  <c r="AU28" i="7"/>
  <c r="AT7" i="7" l="1" a="1"/>
  <c r="AT7" i="7" s="1"/>
  <c r="AU7" i="7"/>
  <c r="AT37" i="7" a="1"/>
  <c r="AT37" i="7" s="1"/>
  <c r="AU37" i="7"/>
  <c r="AT44" i="7" l="1" a="1"/>
  <c r="AT44" i="7" s="1"/>
  <c r="AU44" i="7"/>
  <c r="AT45" i="7" a="1"/>
  <c r="AT45" i="7" s="1"/>
  <c r="AU45" i="7"/>
  <c r="AT11" i="7" l="1" a="1"/>
  <c r="AT11" i="7" s="1"/>
  <c r="AU11" i="7"/>
  <c r="AT50" i="7" a="1"/>
  <c r="AT50" i="7" s="1"/>
  <c r="AU50" i="7"/>
  <c r="AT34" i="7" l="1" a="1"/>
  <c r="AT34" i="7" s="1"/>
  <c r="AU34" i="7"/>
  <c r="AT46" i="7" a="1"/>
  <c r="AT46" i="7" s="1"/>
  <c r="AU46" i="7"/>
  <c r="AT15" i="7" l="1" a="1"/>
  <c r="AT15" i="7" s="1"/>
  <c r="AU15" i="7"/>
  <c r="AU6" i="7" l="1"/>
  <c r="AT1" i="7" l="1"/>
  <c r="AT6" i="7" a="1"/>
  <c r="AT6" i="7" s="1"/>
  <c r="N2" i="7" l="1"/>
  <c r="N2" i="8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D10" i="4" l="1"/>
  <c r="E10" i="4" s="1" a="1"/>
  <c r="E10" i="4" s="1"/>
  <c r="D11" i="4"/>
  <c r="E11" i="4" s="1" a="1"/>
  <c r="E11" i="4" s="1"/>
  <c r="D12" i="4"/>
  <c r="E12" i="4" s="1" a="1"/>
  <c r="E12" i="4" s="1"/>
  <c r="D13" i="4"/>
  <c r="E13" i="4" s="1" a="1"/>
  <c r="E13" i="4" s="1"/>
  <c r="D14" i="4"/>
  <c r="E14" i="4" s="1" a="1"/>
  <c r="E14" i="4" s="1"/>
  <c r="G10" i="4" a="1"/>
  <c r="G10" i="4" s="1"/>
  <c r="G11" i="4" a="1"/>
  <c r="G11" i="4" s="1"/>
  <c r="G12" i="4" a="1"/>
  <c r="G12" i="4" s="1"/>
  <c r="G13" i="4" a="1"/>
  <c r="G13" i="4" s="1"/>
  <c r="G14" i="4" a="1"/>
  <c r="G14" i="4" s="1"/>
  <c r="M2" i="4" l="1"/>
  <c r="D8" i="4" l="1"/>
  <c r="E8" i="4" s="1" a="1"/>
  <c r="E8" i="4" s="1"/>
  <c r="D9" i="4"/>
  <c r="E9" i="4" s="1" a="1"/>
  <c r="E9" i="4" s="1"/>
  <c r="G8" i="4" a="1"/>
  <c r="G8" i="4" s="1"/>
  <c r="G9" i="4" a="1"/>
  <c r="G9" i="4" s="1"/>
  <c r="D3" i="4" l="1"/>
  <c r="E3" i="4" s="1" a="1"/>
  <c r="E3" i="4" s="1"/>
  <c r="G3" i="4" a="1"/>
  <c r="G3" i="4" s="1"/>
  <c r="D4" i="4"/>
  <c r="E4" i="4" s="1" a="1"/>
  <c r="E4" i="4" s="1"/>
  <c r="G4" i="4" a="1"/>
  <c r="G4" i="4" s="1"/>
  <c r="D5" i="4"/>
  <c r="E5" i="4" s="1" a="1"/>
  <c r="E5" i="4" s="1"/>
  <c r="G5" i="4" a="1"/>
  <c r="G5" i="4" s="1"/>
  <c r="D6" i="4"/>
  <c r="E6" i="4" s="1" a="1"/>
  <c r="E6" i="4" s="1"/>
  <c r="G6" i="4" a="1"/>
  <c r="G6" i="4" s="1"/>
  <c r="D7" i="4"/>
  <c r="E7" i="4" s="1" a="1"/>
  <c r="E7" i="4" s="1"/>
  <c r="G7" i="4" a="1"/>
  <c r="G7" i="4" s="1"/>
  <c r="G2" i="4" l="1" a="1"/>
  <c r="G2" i="4" s="1"/>
  <c r="D2" i="4"/>
  <c r="E2" i="4" l="1" a="1"/>
  <c r="E2" i="4" s="1"/>
  <c r="F23" i="4" l="1"/>
  <c r="F17" i="4"/>
  <c r="F21" i="4"/>
  <c r="F15" i="4"/>
  <c r="F22" i="4"/>
  <c r="F18" i="4"/>
  <c r="F19" i="4"/>
  <c r="F20" i="4"/>
  <c r="F16" i="4"/>
  <c r="F11" i="4"/>
  <c r="F14" i="4"/>
  <c r="F12" i="4"/>
  <c r="F10" i="4"/>
  <c r="F13" i="4"/>
  <c r="F8" i="4"/>
  <c r="F9" i="4"/>
  <c r="F5" i="4"/>
  <c r="F2" i="4"/>
  <c r="F3" i="4"/>
  <c r="F4" i="4"/>
  <c r="F6" i="4"/>
  <c r="F7" i="4"/>
  <c r="B22" i="8"/>
  <c r="B18" i="8"/>
  <c r="B20" i="8"/>
  <c r="B23" i="8"/>
  <c r="A23" i="8"/>
  <c r="A24" i="8"/>
  <c r="A20" i="8"/>
  <c r="A21" i="8"/>
  <c r="A22" i="8"/>
  <c r="A19" i="8"/>
  <c r="A16" i="8"/>
  <c r="B19" i="8"/>
  <c r="B21" i="8"/>
  <c r="A18" i="8"/>
  <c r="B24" i="8"/>
  <c r="A17" i="8"/>
  <c r="B17" i="8"/>
  <c r="K23" i="4" l="1"/>
  <c r="I23" i="4"/>
  <c r="J23" i="4"/>
  <c r="H23" i="4"/>
  <c r="H22" i="4"/>
  <c r="I22" i="4"/>
  <c r="J22" i="4"/>
  <c r="K18" i="4"/>
  <c r="H18" i="4"/>
  <c r="I18" i="4"/>
  <c r="J18" i="4"/>
  <c r="K22" i="4"/>
  <c r="J17" i="4"/>
  <c r="J19" i="4"/>
  <c r="I21" i="4"/>
  <c r="H15" i="4"/>
  <c r="J16" i="4"/>
  <c r="K17" i="4"/>
  <c r="K19" i="4"/>
  <c r="J21" i="4"/>
  <c r="H20" i="4"/>
  <c r="J15" i="4"/>
  <c r="K20" i="4"/>
  <c r="I20" i="4"/>
  <c r="H17" i="4"/>
  <c r="I19" i="4"/>
  <c r="K21" i="4"/>
  <c r="I15" i="4"/>
  <c r="K16" i="4"/>
  <c r="I16" i="4"/>
  <c r="I17" i="4"/>
  <c r="H19" i="4"/>
  <c r="H16" i="4"/>
  <c r="H21" i="4"/>
  <c r="K15" i="4"/>
  <c r="J20" i="4"/>
  <c r="K13" i="4"/>
  <c r="K11" i="4"/>
  <c r="K14" i="4"/>
  <c r="K10" i="4"/>
  <c r="K12" i="4"/>
  <c r="K9" i="4"/>
  <c r="K8" i="4"/>
  <c r="K7" i="4"/>
  <c r="K4" i="4"/>
  <c r="K5" i="4"/>
  <c r="K3" i="4"/>
  <c r="K6" i="4"/>
  <c r="K2" i="4"/>
  <c r="I12" i="4"/>
  <c r="I11" i="4"/>
  <c r="J14" i="4"/>
  <c r="H13" i="4"/>
  <c r="J12" i="4"/>
  <c r="I10" i="4"/>
  <c r="J13" i="4"/>
  <c r="J10" i="4"/>
  <c r="J11" i="4"/>
  <c r="H10" i="4"/>
  <c r="I13" i="4"/>
  <c r="H12" i="4"/>
  <c r="H14" i="4"/>
  <c r="H11" i="4"/>
  <c r="I14" i="4"/>
  <c r="I2" i="4"/>
  <c r="I8" i="4"/>
  <c r="J9" i="4"/>
  <c r="J8" i="4"/>
  <c r="H9" i="4"/>
  <c r="I9" i="4"/>
  <c r="H8" i="4"/>
  <c r="J2" i="4"/>
  <c r="B5" i="7" s="1"/>
  <c r="D5" i="7" s="1"/>
  <c r="I3" i="4"/>
  <c r="H2" i="4"/>
  <c r="I4" i="4"/>
  <c r="J3" i="4"/>
  <c r="J4" i="4"/>
  <c r="H4" i="4"/>
  <c r="H3" i="4"/>
  <c r="I5" i="4"/>
  <c r="H6" i="4"/>
  <c r="A12" i="8"/>
  <c r="A15" i="8"/>
  <c r="B14" i="8"/>
  <c r="I6" i="4"/>
  <c r="B13" i="8"/>
  <c r="H5" i="4"/>
  <c r="J5" i="4"/>
  <c r="J7" i="4"/>
  <c r="B11" i="8"/>
  <c r="I7" i="4"/>
  <c r="J6" i="4"/>
  <c r="B15" i="8"/>
  <c r="B12" i="8"/>
  <c r="A13" i="8"/>
  <c r="B16" i="8"/>
  <c r="H7" i="4"/>
  <c r="A14" i="8"/>
  <c r="B30" i="8"/>
  <c r="B25" i="8"/>
  <c r="A30" i="8"/>
  <c r="A27" i="8"/>
  <c r="B31" i="8"/>
  <c r="A29" i="8"/>
  <c r="A26" i="8"/>
  <c r="A32" i="8"/>
  <c r="B28" i="8"/>
  <c r="A31" i="8"/>
  <c r="B27" i="8"/>
  <c r="A25" i="8"/>
  <c r="A34" i="8"/>
  <c r="A33" i="8"/>
  <c r="B29" i="8"/>
  <c r="B26" i="8"/>
  <c r="B32" i="8"/>
  <c r="A28" i="8"/>
  <c r="B34" i="8"/>
  <c r="B33" i="8"/>
  <c r="AV10" i="7" l="1"/>
  <c r="AV32" i="7"/>
  <c r="AV38" i="7"/>
  <c r="AV12" i="7"/>
  <c r="AV51" i="7"/>
  <c r="AV28" i="7"/>
  <c r="AV53" i="7"/>
  <c r="AV54" i="7"/>
  <c r="AV43" i="7"/>
  <c r="AV42" i="7"/>
  <c r="AV41" i="7"/>
  <c r="AV52" i="7"/>
  <c r="AV49" i="7"/>
  <c r="AV48" i="7"/>
  <c r="AV47" i="7"/>
  <c r="AV55" i="7"/>
  <c r="AV58" i="7"/>
  <c r="AV56" i="7"/>
  <c r="AV59" i="7"/>
  <c r="AV57" i="7"/>
  <c r="AV50" i="7"/>
  <c r="G7" i="11"/>
  <c r="G3" i="11"/>
  <c r="G6" i="11"/>
  <c r="G2" i="11"/>
  <c r="G5" i="11"/>
  <c r="G4" i="11"/>
  <c r="I4" i="11" s="1"/>
  <c r="C3" i="11"/>
  <c r="C7" i="11"/>
  <c r="C4" i="11"/>
  <c r="C5" i="11"/>
  <c r="C2" i="11"/>
  <c r="C6" i="11"/>
  <c r="A5" i="7"/>
  <c r="C5" i="7" s="1"/>
  <c r="AW5" i="7"/>
  <c r="B5" i="8"/>
  <c r="A5" i="8"/>
  <c r="A6" i="8"/>
  <c r="A7" i="8"/>
  <c r="B10" i="8"/>
  <c r="A9" i="8"/>
  <c r="B7" i="8"/>
  <c r="B8" i="8"/>
  <c r="B6" i="8"/>
  <c r="A8" i="8"/>
  <c r="B9" i="8"/>
  <c r="A11" i="8"/>
  <c r="A10" i="8"/>
  <c r="AV33" i="7" l="1"/>
  <c r="AV23" i="7"/>
  <c r="AV8" i="7"/>
  <c r="AV14" i="7"/>
  <c r="AV24" i="7"/>
  <c r="AV18" i="7"/>
  <c r="AV13" i="7"/>
  <c r="AV29" i="7"/>
  <c r="AV36" i="7"/>
  <c r="AV39" i="7"/>
  <c r="AV46" i="7"/>
  <c r="AV35" i="7"/>
  <c r="AV45" i="7"/>
  <c r="AV26" i="7"/>
  <c r="AV20" i="7"/>
  <c r="AV16" i="7"/>
  <c r="AV40" i="7"/>
  <c r="AV30" i="7"/>
  <c r="AV9" i="7"/>
  <c r="AV31" i="7"/>
  <c r="AV15" i="7"/>
  <c r="AV7" i="7"/>
  <c r="AV34" i="7"/>
  <c r="AV44" i="7"/>
  <c r="AV27" i="7"/>
  <c r="AV22" i="7"/>
  <c r="AV11" i="7"/>
  <c r="AV37" i="7"/>
  <c r="AV21" i="7"/>
  <c r="D5" i="11"/>
  <c r="E5" i="11" s="1"/>
  <c r="H5" i="11"/>
  <c r="D6" i="11"/>
  <c r="E6" i="11" s="1"/>
  <c r="H6" i="11"/>
  <c r="D7" i="11"/>
  <c r="E7" i="11" s="1"/>
  <c r="H7" i="11"/>
  <c r="D2" i="11"/>
  <c r="E2" i="11" s="1"/>
  <c r="H2" i="11"/>
  <c r="D3" i="11"/>
  <c r="E3" i="11" s="1"/>
  <c r="H3" i="11"/>
  <c r="D4" i="11"/>
  <c r="E4" i="11" s="1"/>
  <c r="H4" i="11"/>
  <c r="AX1" i="7"/>
  <c r="AU1" i="7"/>
  <c r="I2" i="11" l="1"/>
  <c r="I3" i="11"/>
  <c r="I7" i="11"/>
  <c r="I5" i="11"/>
  <c r="I6" i="11"/>
  <c r="AV6" i="7"/>
  <c r="AT2" i="7"/>
  <c r="AU2" i="7" s="1"/>
  <c r="AV60" i="7"/>
</calcChain>
</file>

<file path=xl/sharedStrings.xml><?xml version="1.0" encoding="utf-8"?>
<sst xmlns="http://schemas.openxmlformats.org/spreadsheetml/2006/main" count="537" uniqueCount="163">
  <si>
    <t>ESTIBAS</t>
  </si>
  <si>
    <t>JUMBOS</t>
  </si>
  <si>
    <t>METROS</t>
  </si>
  <si>
    <t>COSTAS</t>
  </si>
  <si>
    <t>Codigo</t>
  </si>
  <si>
    <t>Tienda</t>
  </si>
  <si>
    <t>Ubicacion</t>
  </si>
  <si>
    <t>Prioridad</t>
  </si>
  <si>
    <t>BOGOTA Y URBANOS</t>
  </si>
  <si>
    <t>BULEVAR</t>
  </si>
  <si>
    <t>BOSA</t>
  </si>
  <si>
    <t>CALLE 80</t>
  </si>
  <si>
    <t>CALLE 170</t>
  </si>
  <si>
    <t>HAYUELOS</t>
  </si>
  <si>
    <t>CARRERA 30 BOGOTA</t>
  </si>
  <si>
    <t>20 DE JULIO</t>
  </si>
  <si>
    <t>AUTOPISTA SUR</t>
  </si>
  <si>
    <t>SANTA ANA</t>
  </si>
  <si>
    <t>FLORESTA</t>
  </si>
  <si>
    <t>BANDERAS</t>
  </si>
  <si>
    <t>DUITAMA</t>
  </si>
  <si>
    <t>CALLE 100</t>
  </si>
  <si>
    <t>CHIPICHAPE</t>
  </si>
  <si>
    <t>EJE CAFETERO Y VALLE</t>
  </si>
  <si>
    <t>CALL170</t>
  </si>
  <si>
    <t>POPAYAN</t>
  </si>
  <si>
    <t>REGIONAL</t>
  </si>
  <si>
    <t>VILLAVICENCIO</t>
  </si>
  <si>
    <t>NEIVA</t>
  </si>
  <si>
    <t>RIOHACHA</t>
  </si>
  <si>
    <t>IBAGUE JORDAN</t>
  </si>
  <si>
    <t>ALTOS DEL PRADO</t>
  </si>
  <si>
    <t>CHIA</t>
  </si>
  <si>
    <t>SANTA MARTA</t>
  </si>
  <si>
    <t>GIRARDOT</t>
  </si>
  <si>
    <t>SOACHA</t>
  </si>
  <si>
    <t>BARRANQUILLA LA 30</t>
  </si>
  <si>
    <t>PANADERIA CALLE 170</t>
  </si>
  <si>
    <t>PANADERIA CALLE 80</t>
  </si>
  <si>
    <t>SUBA</t>
  </si>
  <si>
    <t>TINTALITO</t>
  </si>
  <si>
    <t>SANTA FE</t>
  </si>
  <si>
    <t>MOSQUERA</t>
  </si>
  <si>
    <t>FACATATIVA</t>
  </si>
  <si>
    <t>TUNJA</t>
  </si>
  <si>
    <t>ZIPAQUIRA</t>
  </si>
  <si>
    <t>FONTIBON</t>
  </si>
  <si>
    <t>SAN CAYETANO</t>
  </si>
  <si>
    <t>CARTAGENA</t>
  </si>
  <si>
    <t>MEGAMALL</t>
  </si>
  <si>
    <t>BUCARAMANGA Y CUCUTA</t>
  </si>
  <si>
    <t>MONTERIA</t>
  </si>
  <si>
    <t>AMERICANO</t>
  </si>
  <si>
    <t>VALLEDUPAR</t>
  </si>
  <si>
    <t>BUENAVISTA</t>
  </si>
  <si>
    <t>SOGAMOSO</t>
  </si>
  <si>
    <t>BUCARAMANGA</t>
  </si>
  <si>
    <t>PLATAFORMA</t>
  </si>
  <si>
    <t>ALQUERIA</t>
  </si>
  <si>
    <t>SAN SILVESTRE</t>
  </si>
  <si>
    <t>IBAGUE CALLE 19</t>
  </si>
  <si>
    <t>MEDELLIN</t>
  </si>
  <si>
    <t>TITAN</t>
  </si>
  <si>
    <t>EL CASTILLO</t>
  </si>
  <si>
    <t>SAN FRANCISCO</t>
  </si>
  <si>
    <t>PITALITO</t>
  </si>
  <si>
    <t>METRO MAYALES</t>
  </si>
  <si>
    <t>YOPAL</t>
  </si>
  <si>
    <t>CALI</t>
  </si>
  <si>
    <t>BAZZAR</t>
  </si>
  <si>
    <t>PLAZA CENTRAL</t>
  </si>
  <si>
    <t>SANTA LUCIA</t>
  </si>
  <si>
    <t>REGIONALES</t>
  </si>
  <si>
    <t>JUMBO BULEVAR</t>
  </si>
  <si>
    <t>B Y U</t>
  </si>
  <si>
    <t>METRO BOSA</t>
  </si>
  <si>
    <t>JUMBO CALLE 80</t>
  </si>
  <si>
    <t>JUMBO CALLE 170</t>
  </si>
  <si>
    <t>JUMBO HAYUELOS</t>
  </si>
  <si>
    <t>JUMBO CARRERA 30</t>
  </si>
  <si>
    <t>METRO 20 DE JULIO</t>
  </si>
  <si>
    <t>METRO AUTOSUR</t>
  </si>
  <si>
    <t>JUMBO SANTA ANA</t>
  </si>
  <si>
    <t>METRO BANDERAS</t>
  </si>
  <si>
    <t>METRO DUITAMA</t>
  </si>
  <si>
    <t>METRO ISERRA</t>
  </si>
  <si>
    <t>METRO VILLAVICENCIO</t>
  </si>
  <si>
    <t>METRO IBAGUE JORDAN</t>
  </si>
  <si>
    <t>JUMBO CHIA</t>
  </si>
  <si>
    <t>JUMBO GIRARDOT</t>
  </si>
  <si>
    <t>METRO SOACHA</t>
  </si>
  <si>
    <t>JUMBO SUBA</t>
  </si>
  <si>
    <t>METRO TINTALITO</t>
  </si>
  <si>
    <t>JUMBO SANTA FE</t>
  </si>
  <si>
    <t>METRO MOSQUERA</t>
  </si>
  <si>
    <t>METRO FACA</t>
  </si>
  <si>
    <t>JUMBO TUNJA</t>
  </si>
  <si>
    <t>METRO ZIPAQUIRA</t>
  </si>
  <si>
    <t>METRO FONTIBON</t>
  </si>
  <si>
    <t>METRO CAYETANO</t>
  </si>
  <si>
    <t>METRO SOGAMOSO</t>
  </si>
  <si>
    <t>METRO ALQUERIA</t>
  </si>
  <si>
    <t>METRO IBAGUE CALLE 19</t>
  </si>
  <si>
    <t>JUMBO TITAN</t>
  </si>
  <si>
    <t>JUMBO POPAYAN</t>
  </si>
  <si>
    <t>METRO NEIVA</t>
  </si>
  <si>
    <t>METRO PITALITO</t>
  </si>
  <si>
    <t>JUMBO YOPAL</t>
  </si>
  <si>
    <t>JUMBO BAZZAR</t>
  </si>
  <si>
    <t>METRO SANTA LUCIA</t>
  </si>
  <si>
    <t>METRO RIOHACHA</t>
  </si>
  <si>
    <t>JUMBO ALTOS DEL PRADO</t>
  </si>
  <si>
    <t>JUMBO SANTA MARTA</t>
  </si>
  <si>
    <t>METRO BARRANQUILLA LA 30</t>
  </si>
  <si>
    <t>JUMBO CARTAGENA</t>
  </si>
  <si>
    <t>JUMBO AMERICANO</t>
  </si>
  <si>
    <t>JUMBO VALLEDUPAR</t>
  </si>
  <si>
    <t>JUMBO BUENA VISTA</t>
  </si>
  <si>
    <t>JUMBO EL CASTILLO</t>
  </si>
  <si>
    <t>METRO SAN FRANCISCO</t>
  </si>
  <si>
    <t>JUMBO PLAZA CENTRAL</t>
  </si>
  <si>
    <t>P - BUCARAMANGA</t>
  </si>
  <si>
    <t>P - MEDELLIN</t>
  </si>
  <si>
    <t>P - CALI</t>
  </si>
  <si>
    <t>Total Canastillas</t>
  </si>
  <si>
    <t>EXPRESS CARRERA 30</t>
  </si>
  <si>
    <t>PLATAFORMAS</t>
  </si>
  <si>
    <t>PANADERIAS</t>
  </si>
  <si>
    <t>regionales</t>
  </si>
  <si>
    <t xml:space="preserve">AUDITORIA DE CANASTILLAS </t>
  </si>
  <si>
    <t>AB</t>
  </si>
  <si>
    <t>CJ</t>
  </si>
  <si>
    <t>SV</t>
  </si>
  <si>
    <t>TIENDA EXPRESS</t>
  </si>
  <si>
    <t>CODIGO</t>
  </si>
  <si>
    <t>TIPO TIENDA</t>
  </si>
  <si>
    <t>Columna1</t>
  </si>
  <si>
    <t>Columna2</t>
  </si>
  <si>
    <t>Columna3</t>
  </si>
  <si>
    <t>Columna4</t>
  </si>
  <si>
    <t>Columna5</t>
  </si>
  <si>
    <t>Columna6</t>
  </si>
  <si>
    <t>Columna7</t>
  </si>
  <si>
    <t>AUDITOR:</t>
  </si>
  <si>
    <t>proy</t>
  </si>
  <si>
    <t>TIENDAS</t>
  </si>
  <si>
    <t>AUDITOR</t>
  </si>
  <si>
    <t>HECTOR ORTIZ</t>
  </si>
  <si>
    <t>NELSON ZORRO</t>
  </si>
  <si>
    <t>LUIS DE LA HOZ</t>
  </si>
  <si>
    <t>total</t>
  </si>
  <si>
    <t>tienda</t>
  </si>
  <si>
    <t>proyeccion</t>
  </si>
  <si>
    <t>rango dinamico</t>
  </si>
  <si>
    <t>Columna8</t>
  </si>
  <si>
    <t>maximo</t>
  </si>
  <si>
    <t>CARLOS SAN MARTIN</t>
  </si>
  <si>
    <t>Columna9</t>
  </si>
  <si>
    <t xml:space="preserve">    </t>
  </si>
  <si>
    <t>DUVIEL GARCIA</t>
  </si>
  <si>
    <t>MARITZA CARDENAS</t>
  </si>
  <si>
    <t>NELSON SOSA</t>
  </si>
  <si>
    <t>PROVEDOORES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</si>
</sst>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</font>
    <font>
      <b/>
      <i/>
      <sz val="11"/>
      <color indexed="8"/>
      <name val="Calibri"/>
      <family val="2"/>
    </font>
    <font>
      <sz val="10"/>
      <color indexed="8"/>
      <name val="Arial"/>
      <family val="2"/>
    </font>
    <font>
      <b/>
      <sz val="9"/>
      <color theme="1"/>
      <name val="Arial Black"/>
      <family val="2"/>
    </font>
    <font>
      <sz val="12"/>
      <color theme="1"/>
      <name val="Arial"/>
      <family val="2"/>
    </font>
    <font>
      <sz val="12"/>
      <name val="Arial"/>
      <family val="2"/>
    </font>
    <font>
      <sz val="8"/>
      <color theme="4" tint="-0.499984740745262"/>
      <name val="Calibri"/>
      <family val="2"/>
    </font>
    <font>
      <b/>
      <sz val="14"/>
      <color theme="1"/>
      <name val="Arial Black"/>
      <family val="2"/>
    </font>
    <font>
      <b/>
      <sz val="11"/>
      <color theme="1"/>
      <name val="Arial Black"/>
      <family val="2"/>
    </font>
    <font>
      <b/>
      <sz val="11"/>
      <color theme="1"/>
      <name val="Arial Rounded MT Bold"/>
      <family val="2"/>
    </font>
    <font>
      <b/>
      <sz val="10"/>
      <color theme="1"/>
      <name val="Arial Black"/>
      <family val="2"/>
    </font>
    <font>
      <b/>
      <sz val="12"/>
      <color theme="1"/>
      <name val="Arial Black"/>
      <family val="2"/>
    </font>
    <font>
      <b/>
      <sz val="9"/>
      <color theme="0"/>
      <name val="Arial Black"/>
      <family val="2"/>
    </font>
    <font>
      <b/>
      <sz val="12"/>
      <color theme="1"/>
      <name val="Arial Rounded MT Bold"/>
      <family val="2"/>
    </font>
    <font>
      <sz val="14"/>
      <color rgb="FF00000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0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1" fillId="0" borderId="0"/>
    <xf numFmtId="0" fontId="18" fillId="0" borderId="0"/>
  </cellStyleXfs>
  <cellXfs count="98">
    <xf numFmtId="0" fontId="0" fillId="0" borderId="0" xfId="0"/>
    <xf numFmtId="0" fontId="19" fillId="33" borderId="11" xfId="42" applyFont="1" applyFill="1" applyBorder="1" applyAlignment="1">
      <alignment horizontal="center"/>
    </xf>
    <xf numFmtId="0" fontId="19" fillId="0" borderId="12" xfId="42" applyFont="1" applyFill="1" applyBorder="1" applyAlignment="1">
      <alignment horizontal="right" wrapText="1"/>
    </xf>
    <xf numFmtId="0" fontId="19" fillId="0" borderId="12" xfId="42" applyFont="1" applyFill="1" applyBorder="1" applyAlignment="1">
      <alignment wrapText="1"/>
    </xf>
    <xf numFmtId="0" fontId="18" fillId="0" borderId="0" xfId="42"/>
    <xf numFmtId="0" fontId="20" fillId="0" borderId="12" xfId="42" applyFont="1" applyFill="1" applyBorder="1" applyAlignment="1">
      <alignment horizontal="center" wrapText="1"/>
    </xf>
    <xf numFmtId="0" fontId="20" fillId="0" borderId="13" xfId="42" applyFont="1" applyFill="1" applyBorder="1" applyAlignment="1">
      <alignment horizontal="center" wrapText="1"/>
    </xf>
    <xf numFmtId="0" fontId="19" fillId="0" borderId="13" xfId="42" applyFont="1" applyFill="1" applyBorder="1" applyAlignment="1">
      <alignment wrapText="1"/>
    </xf>
    <xf numFmtId="0" fontId="0" fillId="0" borderId="0" xfId="0" applyAlignment="1">
      <alignment horizontal="center"/>
    </xf>
    <xf numFmtId="0" fontId="23" fillId="0" borderId="10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0" fontId="24" fillId="34" borderId="10" xfId="0" applyFont="1" applyFill="1" applyBorder="1" applyAlignment="1">
      <alignment horizontal="center" vertical="center"/>
    </xf>
    <xf numFmtId="0" fontId="19" fillId="33" borderId="17" xfId="42" applyFont="1" applyFill="1" applyBorder="1" applyAlignment="1">
      <alignment horizontal="center"/>
    </xf>
    <xf numFmtId="0" fontId="0" fillId="0" borderId="0" xfId="0" applyNumberFormat="1"/>
    <xf numFmtId="0" fontId="0" fillId="36" borderId="18" xfId="0" applyNumberFormat="1" applyFont="1" applyFill="1" applyBorder="1"/>
    <xf numFmtId="0" fontId="25" fillId="37" borderId="11" xfId="43" applyFont="1" applyFill="1" applyBorder="1" applyAlignment="1">
      <alignment horizontal="center"/>
    </xf>
    <xf numFmtId="0" fontId="28" fillId="0" borderId="0" xfId="0" applyFont="1"/>
    <xf numFmtId="0" fontId="28" fillId="0" borderId="10" xfId="0" applyFont="1" applyBorder="1" applyAlignment="1"/>
    <xf numFmtId="0" fontId="27" fillId="0" borderId="10" xfId="0" applyFont="1" applyBorder="1"/>
    <xf numFmtId="0" fontId="22" fillId="0" borderId="0" xfId="0" applyFont="1"/>
    <xf numFmtId="0" fontId="22" fillId="35" borderId="10" xfId="0" applyFont="1" applyFill="1" applyBorder="1" applyAlignment="1">
      <alignment horizontal="center" vertical="center"/>
    </xf>
    <xf numFmtId="0" fontId="22" fillId="34" borderId="10" xfId="0" applyFont="1" applyFill="1" applyBorder="1" applyAlignment="1">
      <alignment horizontal="center" vertical="center"/>
    </xf>
    <xf numFmtId="0" fontId="0" fillId="0" borderId="10" xfId="0" applyFont="1" applyFill="1" applyBorder="1"/>
    <xf numFmtId="0" fontId="22" fillId="0" borderId="10" xfId="0" applyFont="1" applyBorder="1" applyAlignment="1">
      <alignment horizontal="center" vertical="center"/>
    </xf>
    <xf numFmtId="0" fontId="0" fillId="36" borderId="22" xfId="0" applyNumberFormat="1" applyFont="1" applyFill="1" applyBorder="1"/>
    <xf numFmtId="0" fontId="0" fillId="0" borderId="21" xfId="0" applyBorder="1"/>
    <xf numFmtId="0" fontId="0" fillId="36" borderId="23" xfId="0" applyNumberFormat="1" applyFont="1" applyFill="1" applyBorder="1"/>
    <xf numFmtId="0" fontId="0" fillId="0" borderId="0" xfId="0"/>
    <xf numFmtId="0" fontId="28" fillId="0" borderId="0" xfId="0" applyFont="1" applyBorder="1"/>
    <xf numFmtId="0" fontId="22" fillId="0" borderId="0" xfId="0" applyFont="1" applyBorder="1"/>
    <xf numFmtId="0" fontId="0" fillId="0" borderId="0" xfId="0" applyBorder="1"/>
    <xf numFmtId="0" fontId="0" fillId="0" borderId="0" xfId="0" applyBorder="1"/>
    <xf numFmtId="0" fontId="27" fillId="0" borderId="10" xfId="0" applyFont="1" applyBorder="1" applyAlignment="1">
      <alignment vertical="center"/>
    </xf>
    <xf numFmtId="0" fontId="23" fillId="34" borderId="10" xfId="0" applyFont="1" applyFill="1" applyBorder="1" applyAlignment="1">
      <alignment vertical="center"/>
    </xf>
    <xf numFmtId="0" fontId="23" fillId="0" borderId="10" xfId="0" applyFont="1" applyFill="1" applyBorder="1" applyAlignment="1">
      <alignment vertical="center"/>
    </xf>
    <xf numFmtId="0" fontId="24" fillId="34" borderId="10" xfId="0" applyFont="1" applyFill="1" applyBorder="1" applyAlignment="1">
      <alignment vertical="center"/>
    </xf>
    <xf numFmtId="0" fontId="22" fillId="35" borderId="16" xfId="0" applyFont="1" applyFill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34" borderId="16" xfId="0" applyFont="1" applyFill="1" applyBorder="1" applyAlignment="1">
      <alignment horizontal="center" vertical="center"/>
    </xf>
    <xf numFmtId="0" fontId="31" fillId="38" borderId="0" xfId="0" applyFont="1" applyFill="1" applyBorder="1"/>
    <xf numFmtId="0" fontId="0" fillId="39" borderId="0" xfId="0" applyFill="1" applyBorder="1"/>
    <xf numFmtId="0" fontId="31" fillId="38" borderId="24" xfId="0" applyFont="1" applyFill="1" applyBorder="1"/>
    <xf numFmtId="14" fontId="28" fillId="0" borderId="0" xfId="0" applyNumberFormat="1" applyFont="1" applyBorder="1"/>
    <xf numFmtId="0" fontId="23" fillId="0" borderId="15" xfId="0" applyFont="1" applyFill="1" applyBorder="1" applyAlignment="1">
      <alignment horizontal="center" vertical="center"/>
    </xf>
    <xf numFmtId="0" fontId="27" fillId="0" borderId="15" xfId="0" applyFont="1" applyBorder="1"/>
    <xf numFmtId="0" fontId="23" fillId="34" borderId="15" xfId="0" applyFont="1" applyFill="1" applyBorder="1" applyAlignment="1">
      <alignment horizontal="center" vertical="center"/>
    </xf>
    <xf numFmtId="0" fontId="27" fillId="0" borderId="16" xfId="0" applyFont="1" applyBorder="1"/>
    <xf numFmtId="0" fontId="23" fillId="34" borderId="16" xfId="0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/>
    </xf>
    <xf numFmtId="0" fontId="0" fillId="36" borderId="10" xfId="0" applyNumberFormat="1" applyFont="1" applyFill="1" applyBorder="1"/>
    <xf numFmtId="0" fontId="0" fillId="36" borderId="25" xfId="0" applyNumberFormat="1" applyFont="1" applyFill="1" applyBorder="1"/>
    <xf numFmtId="0" fontId="0" fillId="0" borderId="0" xfId="0"/>
    <xf numFmtId="0" fontId="0" fillId="0" borderId="10" xfId="0" applyBorder="1"/>
    <xf numFmtId="0" fontId="0" fillId="36" borderId="18" xfId="0" applyFont="1" applyFill="1" applyBorder="1"/>
    <xf numFmtId="0" fontId="0" fillId="0" borderId="18" xfId="0" applyFont="1" applyBorder="1"/>
    <xf numFmtId="0" fontId="0" fillId="0" borderId="0" xfId="0"/>
    <xf numFmtId="0" fontId="0" fillId="0" borderId="0" xfId="0" applyBorder="1"/>
    <xf numFmtId="0" fontId="0" fillId="0" borderId="0" xfId="0" applyFill="1" applyBorder="1"/>
    <xf numFmtId="0" fontId="23" fillId="0" borderId="15" xfId="0" applyFont="1" applyFill="1" applyBorder="1" applyAlignment="1">
      <alignment vertical="center"/>
    </xf>
    <xf numFmtId="0" fontId="23" fillId="34" borderId="15" xfId="0" applyFont="1" applyFill="1" applyBorder="1" applyAlignment="1">
      <alignment vertical="center"/>
    </xf>
    <xf numFmtId="0" fontId="23" fillId="0" borderId="16" xfId="0" applyFont="1" applyFill="1" applyBorder="1" applyAlignment="1">
      <alignment vertical="center"/>
    </xf>
    <xf numFmtId="0" fontId="23" fillId="34" borderId="16" xfId="0" applyFont="1" applyFill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30" fillId="0" borderId="26" xfId="0" applyFont="1" applyBorder="1" applyAlignment="1">
      <alignment horizontal="center" vertical="center"/>
    </xf>
    <xf numFmtId="0" fontId="23" fillId="34" borderId="26" xfId="0" applyFont="1" applyFill="1" applyBorder="1" applyAlignment="1">
      <alignment vertical="center"/>
    </xf>
    <xf numFmtId="0" fontId="23" fillId="0" borderId="26" xfId="0" applyFont="1" applyFill="1" applyBorder="1" applyAlignment="1">
      <alignment vertical="center"/>
    </xf>
    <xf numFmtId="0" fontId="22" fillId="0" borderId="10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9" fillId="40" borderId="10" xfId="0" applyFont="1" applyFill="1" applyBorder="1" applyAlignment="1">
      <alignment horizontal="center" vertical="center"/>
    </xf>
    <xf numFmtId="0" fontId="29" fillId="40" borderId="16" xfId="0" applyFont="1" applyFill="1" applyBorder="1" applyAlignment="1">
      <alignment horizontal="center" vertical="center"/>
    </xf>
    <xf numFmtId="0" fontId="29" fillId="40" borderId="15" xfId="0" applyFont="1" applyFill="1" applyBorder="1" applyAlignment="1">
      <alignment horizontal="center" vertical="center"/>
    </xf>
    <xf numFmtId="0" fontId="0" fillId="40" borderId="0" xfId="0" applyFill="1"/>
    <xf numFmtId="0" fontId="30" fillId="0" borderId="16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27" fillId="0" borderId="16" xfId="0" applyFont="1" applyBorder="1" applyAlignment="1">
      <alignment vertical="center"/>
    </xf>
    <xf numFmtId="0" fontId="27" fillId="0" borderId="15" xfId="0" applyFont="1" applyBorder="1" applyAlignment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27" fillId="0" borderId="16" xfId="0" applyFont="1" applyBorder="1" applyAlignment="1">
      <alignment vertical="center"/>
    </xf>
    <xf numFmtId="0" fontId="27" fillId="0" borderId="15" xfId="0" applyFont="1" applyBorder="1" applyAlignment="1">
      <alignment vertical="center"/>
    </xf>
    <xf numFmtId="0" fontId="22" fillId="0" borderId="10" xfId="0" applyFont="1" applyBorder="1" applyAlignment="1">
      <alignment horizontal="center" vertical="center"/>
    </xf>
    <xf numFmtId="14" fontId="32" fillId="0" borderId="19" xfId="0" applyNumberFormat="1" applyFont="1" applyBorder="1" applyAlignment="1">
      <alignment horizontal="center"/>
    </xf>
    <xf numFmtId="14" fontId="32" fillId="0" borderId="20" xfId="0" applyNumberFormat="1" applyFont="1" applyBorder="1" applyAlignment="1">
      <alignment horizontal="center"/>
    </xf>
    <xf numFmtId="14" fontId="32" fillId="0" borderId="14" xfId="0" applyNumberFormat="1" applyFont="1" applyBorder="1" applyAlignment="1">
      <alignment horizontal="center"/>
    </xf>
    <xf numFmtId="0" fontId="28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/>
    </xf>
    <xf numFmtId="0" fontId="26" fillId="0" borderId="16" xfId="0" applyFont="1" applyBorder="1" applyAlignment="1">
      <alignment horizontal="left" vertical="center"/>
    </xf>
    <xf numFmtId="0" fontId="28" fillId="0" borderId="19" xfId="0" applyFont="1" applyBorder="1" applyAlignment="1">
      <alignment horizontal="center"/>
    </xf>
    <xf numFmtId="0" fontId="28" fillId="0" borderId="20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9" fillId="40" borderId="16" xfId="0" applyFont="1" applyFill="1" applyBorder="1" applyAlignment="1">
      <alignment horizontal="center" wrapText="1"/>
    </xf>
    <xf numFmtId="0" fontId="29" fillId="40" borderId="15" xfId="0" applyFont="1" applyFill="1" applyBorder="1" applyAlignment="1">
      <alignment horizontal="center" wrapText="1"/>
    </xf>
    <xf numFmtId="1" fontId="0" fillId="0" borderId="0" xfId="0" applyNumberFormat="1"/>
    <xf numFmtId="0" fontId="19" fillId="0" borderId="12" xfId="44" applyFont="1" applyFill="1" applyBorder="1" applyAlignment="1">
      <alignment horizontal="right" wrapText="1"/>
    </xf>
    <xf numFmtId="0" fontId="0" fillId="0" borderId="0" xfId="0" applyBorder="1"/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_Hoja3" xfId="42" xr:uid="{00000000-0005-0000-0000-000022000000}"/>
    <cellStyle name="Normal_Hoja3_2" xfId="43" xr:uid="{00000000-0005-0000-0000-000023000000}"/>
    <cellStyle name="Normal_Hoja3_2 2" xfId="44" xr:uid="{42391B17-F271-45AD-9474-C2960B0A20B8}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</border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family val="2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190500</xdr:colOff>
          <xdr:row>1</xdr:row>
          <xdr:rowOff>161925</xdr:rowOff>
        </xdr:from>
        <xdr:to>
          <xdr:col>53</xdr:col>
          <xdr:colOff>600075</xdr:colOff>
          <xdr:row>5</xdr:row>
          <xdr:rowOff>30307</xdr:rowOff>
        </xdr:to>
        <xdr:sp macro="" textlink="">
          <xdr:nvSpPr>
            <xdr:cNvPr id="1030" name="Botó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Actualizar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180975</xdr:colOff>
          <xdr:row>5</xdr:row>
          <xdr:rowOff>211282</xdr:rowOff>
        </xdr:from>
        <xdr:to>
          <xdr:col>53</xdr:col>
          <xdr:colOff>590550</xdr:colOff>
          <xdr:row>7</xdr:row>
          <xdr:rowOff>90921</xdr:rowOff>
        </xdr:to>
        <xdr:sp macro="" textlink="">
          <xdr:nvSpPr>
            <xdr:cNvPr id="1027" name="Botó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ALTURA DE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180975</xdr:colOff>
          <xdr:row>7</xdr:row>
          <xdr:rowOff>252846</xdr:rowOff>
        </xdr:from>
        <xdr:to>
          <xdr:col>53</xdr:col>
          <xdr:colOff>590550</xdr:colOff>
          <xdr:row>9</xdr:row>
          <xdr:rowOff>237259</xdr:rowOff>
        </xdr:to>
        <xdr:sp macro="" textlink="">
          <xdr:nvSpPr>
            <xdr:cNvPr id="1029" name="Botó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AREA DE IMPRESION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180975</xdr:colOff>
          <xdr:row>9</xdr:row>
          <xdr:rowOff>407843</xdr:rowOff>
        </xdr:from>
        <xdr:to>
          <xdr:col>53</xdr:col>
          <xdr:colOff>571500</xdr:colOff>
          <xdr:row>11</xdr:row>
          <xdr:rowOff>288348</xdr:rowOff>
        </xdr:to>
        <xdr:sp macro="" textlink="">
          <xdr:nvSpPr>
            <xdr:cNvPr id="1033" name="Botó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INSERTAR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180975</xdr:colOff>
          <xdr:row>12</xdr:row>
          <xdr:rowOff>13854</xdr:rowOff>
        </xdr:from>
        <xdr:to>
          <xdr:col>53</xdr:col>
          <xdr:colOff>581025</xdr:colOff>
          <xdr:row>13</xdr:row>
          <xdr:rowOff>433820</xdr:rowOff>
        </xdr:to>
        <xdr:sp macro="" textlink="">
          <xdr:nvSpPr>
            <xdr:cNvPr id="1036" name="Botó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SEPARADORES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180975</xdr:colOff>
          <xdr:row>14</xdr:row>
          <xdr:rowOff>131618</xdr:rowOff>
        </xdr:from>
        <xdr:to>
          <xdr:col>53</xdr:col>
          <xdr:colOff>590550</xdr:colOff>
          <xdr:row>16</xdr:row>
          <xdr:rowOff>20782</xdr:rowOff>
        </xdr:to>
        <xdr:sp macro="" textlink="">
          <xdr:nvSpPr>
            <xdr:cNvPr id="1037" name="Botó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104775</xdr:colOff>
          <xdr:row>1</xdr:row>
          <xdr:rowOff>0</xdr:rowOff>
        </xdr:from>
        <xdr:to>
          <xdr:col>39</xdr:col>
          <xdr:colOff>314325</xdr:colOff>
          <xdr:row>2</xdr:row>
          <xdr:rowOff>114300</xdr:rowOff>
        </xdr:to>
        <xdr:sp macro="" textlink="">
          <xdr:nvSpPr>
            <xdr:cNvPr id="1044" name="ComboBox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76" displayName="Tabla76" ref="AT5:AV60" totalsRowCount="1">
  <autoFilter ref="AT5:AV59" xr:uid="{00000000-0009-0000-0100-000005000000}"/>
  <tableColumns count="3">
    <tableColumn id="1" xr3:uid="{00000000-0010-0000-0000-000001000000}" name="rango dinamico">
      <calculatedColumnFormula array="1">"A4:B"&amp;(COUNTA(Tabla1[Tienda])+4)</calculatedColumnFormula>
    </tableColumn>
    <tableColumn id="2" xr3:uid="{00000000-0010-0000-0000-000002000000}" name="Columna1">
      <calculatedColumnFormula>"C1:AQ"&amp;(COUNTA(Tabla1[Tienda])+4)</calculatedColumnFormula>
    </tableColumn>
    <tableColumn id="3" xr3:uid="{00000000-0010-0000-0000-000003000000}" name="Columna2" totalsRowFunction="custom">
      <calculatedColumnFormula>"C1:AQ"&amp;(COUNTA(Tabla1[Tienda])+4+SUM(AW5:AW73))</calculatedColumnFormula>
      <totalsRowFormula>"C5:AQ"&amp;(COUNTA(Tabla1[Tienda])+4+SUM(AW6:AW73))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a27" displayName="Tabla27" ref="A1:E7" totalsRowShown="0">
  <autoFilter ref="A1:E7" xr:uid="{00000000-0009-0000-0100-000006000000}"/>
  <tableColumns count="5">
    <tableColumn id="1" xr3:uid="{00000000-0010-0000-0100-000001000000}" name="CODIGO"/>
    <tableColumn id="2" xr3:uid="{00000000-0010-0000-0100-000002000000}" name="TIPO TIENDA"/>
    <tableColumn id="3" xr3:uid="{00000000-0010-0000-0100-000003000000}" name="maximo" dataDxfId="25">
      <calculatedColumnFormula>_xlfn.MAXIFS(Tabla1[Columna8],Tabla1[Columna6],Tabla27[[#This Row],[TIPO TIENDA]])</calculatedColumnFormula>
    </tableColumn>
    <tableColumn id="4" xr3:uid="{00000000-0010-0000-0100-000004000000}" name="Columna1" dataDxfId="24">
      <calculatedColumnFormula>IFERROR(Tabla27[[#This Row],[maximo]]&amp;" "&amp;VLOOKUP(Tabla27[[#This Row],[maximo]],Tabla3[#All],2,0),"")</calculatedColumnFormula>
    </tableColumn>
    <tableColumn id="7" xr3:uid="{00000000-0010-0000-0100-000007000000}" name="Columna2" dataDxfId="23">
      <calculatedColumnFormula>INDEX('Auditoria Despacho automatico'!$C$5:$D$73,MATCH(Tabla27[[#This Row],[Columna1]],'Auditoria Despacho automatico'!C5:D73,0))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1" displayName="Tabla1" ref="A1:L23" totalsRowShown="0">
  <autoFilter ref="A1:L23" xr:uid="{00000000-0009-0000-0100-000001000000}"/>
  <tableColumns count="12">
    <tableColumn id="1" xr3:uid="{00000000-0010-0000-0200-000001000000}" name="Tienda" dataDxfId="22" dataCellStyle="Normal_Hoja3"/>
    <tableColumn id="2" xr3:uid="{00000000-0010-0000-0200-000002000000}" name="Total Canastillas" dataDxfId="21" dataCellStyle="Normal_Hoja3"/>
    <tableColumn id="3" xr3:uid="{00000000-0010-0000-0200-000003000000}" name="ESTIBAS" dataDxfId="20"/>
    <tableColumn id="4" xr3:uid="{00000000-0010-0000-0200-000004000000}" name="Columna1" dataDxfId="19">
      <calculatedColumnFormula>VLOOKUP(Tabla1[[#This Row],[Tienda]],LISTA_DE_TIENDAS,5,0)</calculatedColumnFormula>
    </tableColumn>
    <tableColumn id="5" xr3:uid="{00000000-0010-0000-0200-000005000000}" name="Columna2" dataDxfId="18">
      <calculatedColumnFormula array="1">VALUE(_xlfn.CONCAT(Tabla1[[#This Row],[Columna1]],(ROW(D2)-1)*0.0001))</calculatedColumnFormula>
    </tableColumn>
    <tableColumn id="6" xr3:uid="{00000000-0010-0000-0200-000006000000}" name="Columna3" dataDxfId="17">
      <calculatedColumnFormula>_xlfn.RANK.EQ(Tabla1[Columna2],Tabla1[Columna2],1)</calculatedColumnFormula>
    </tableColumn>
    <tableColumn id="7" xr3:uid="{00000000-0010-0000-0200-000007000000}" name="Columna4" dataDxfId="16">
      <calculatedColumnFormula array="1">ROW(Tabla1[[#This Row],[Columna3]])-1</calculatedColumnFormula>
    </tableColumn>
    <tableColumn id="8" xr3:uid="{00000000-0010-0000-0200-000008000000}" name="Columna5" dataDxfId="15">
      <calculatedColumnFormula>_xlfn.CONCAT(INDEX(Tabla1[Tienda],MATCH(Tabla1[Columna4],Tabla1[Columna3],0))," ",VLOOKUP(INDEX(Tabla1[Tienda],MATCH(Tabla1[Columna4],Tabla1[Columna3],0)),Tabla3[],2,0))</calculatedColumnFormula>
    </tableColumn>
    <tableColumn id="10" xr3:uid="{00000000-0010-0000-0200-00000A000000}" name="Columna6" dataDxfId="14">
      <calculatedColumnFormula>VLOOKUP(INDEX(Tabla1[Tienda],MATCH(Tabla1[Columna4],Tabla1[Columna3],0)),Tabla3[],6,0)</calculatedColumnFormula>
    </tableColumn>
    <tableColumn id="11" xr3:uid="{00000000-0010-0000-0200-00000B000000}" name="Columna7" dataDxfId="13">
      <calculatedColumnFormula>ROUND(VLOOKUP(INDEX(Tabla1[Tienda],MATCH(Tabla1[Columna4],Tabla1[Columna3],0)),Tabla1[],3,0),0)</calculatedColumnFormula>
    </tableColumn>
    <tableColumn id="9" xr3:uid="{00000000-0010-0000-0200-000009000000}" name="Columna8" dataDxfId="12">
      <calculatedColumnFormula>INDEX(Tabla1[Tienda],MATCH(Tabla1[Columna4],Tabla1[Columna3],0))</calculatedColumnFormula>
    </tableColumn>
    <tableColumn id="12" xr3:uid="{00000000-0010-0000-0200-00000C000000}" name="Columna9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7" displayName="Tabla7" ref="M1:M2" totalsRowShown="0">
  <autoFilter ref="M1:M2" xr:uid="{00000000-0009-0000-0100-000007000000}"/>
  <tableColumns count="1">
    <tableColumn id="1" xr3:uid="{00000000-0010-0000-0300-000001000000}" name="rango dinamico">
      <calculatedColumnFormula>"A1:J"&amp;(COUNTA(Tabla1[Tienda])+1)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2" displayName="Tabla2" ref="H1:I7" totalsRowShown="0">
  <autoFilter ref="H1:I7" xr:uid="{00000000-0009-0000-0100-000002000000}"/>
  <tableColumns count="2">
    <tableColumn id="1" xr3:uid="{00000000-0010-0000-0400-000001000000}" name="CODIGO"/>
    <tableColumn id="2" xr3:uid="{00000000-0010-0000-0400-000002000000}" name="TIPO TIEN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3" displayName="Tabla3" ref="A1:F112" totalsRowShown="0" headerRowDxfId="10" headerRowBorderDxfId="9" tableBorderDxfId="8" headerRowCellStyle="Normal_Hoja3">
  <autoFilter ref="A1:F112" xr:uid="{00000000-0009-0000-0100-000003000000}"/>
  <tableColumns count="6">
    <tableColumn id="1" xr3:uid="{00000000-0010-0000-0500-000001000000}" name="Codigo" dataDxfId="7" dataCellStyle="Normal_Hoja3"/>
    <tableColumn id="2" xr3:uid="{00000000-0010-0000-0500-000002000000}" name="Tienda" dataDxfId="6" dataCellStyle="Normal_Hoja3"/>
    <tableColumn id="3" xr3:uid="{00000000-0010-0000-0500-000003000000}" name="Ubicacion" dataDxfId="5" dataCellStyle="Normal_Hoja3"/>
    <tableColumn id="4" xr3:uid="{00000000-0010-0000-0500-000004000000}" name="Prioridad" dataCellStyle="Normal_Hoja3"/>
    <tableColumn id="5" xr3:uid="{00000000-0010-0000-0500-000005000000}" name="Columna1"/>
    <tableColumn id="6" xr3:uid="{00000000-0010-0000-0500-000006000000}" name="Columna2" dataDxfId="4">
      <calculatedColumnFormula>IFERROR(VLOOKUP(E2,$H$2:$I$7,2,0),"")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a4" displayName="Tabla4" ref="L1:L9" totalsRowShown="0" headerRowDxfId="3" dataDxfId="2" tableBorderDxfId="1">
  <autoFilter ref="L1:L9" xr:uid="{00000000-0009-0000-0100-000004000000}"/>
  <tableColumns count="1">
    <tableColumn id="1" xr3:uid="{00000000-0010-0000-0600-000001000000}" name="AUDITO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Y73"/>
  <sheetViews>
    <sheetView tabSelected="1" view="pageBreakPreview" topLeftCell="C1" zoomScale="55" zoomScaleNormal="40" zoomScaleSheetLayoutView="55" zoomScalePageLayoutView="55" workbookViewId="0">
      <selection activeCell="S14" sqref="S14"/>
    </sheetView>
  </sheetViews>
  <sheetFormatPr baseColWidth="10" defaultRowHeight="15" x14ac:dyDescent="0.25"/>
  <cols>
    <col min="1" max="1" width="28.140625" style="30" hidden="1" customWidth="1"/>
    <col min="2" max="2" width="15.85546875" style="30" hidden="1" customWidth="1"/>
    <col min="3" max="3" width="34.28515625" customWidth="1"/>
    <col min="4" max="4" width="10.42578125" customWidth="1"/>
    <col min="5" max="43" width="5.140625" customWidth="1"/>
    <col min="44" max="44" width="15.42578125" style="30" hidden="1" customWidth="1"/>
    <col min="45" max="45" width="11.42578125" style="30" hidden="1" customWidth="1"/>
    <col min="46" max="46" width="17.85546875" style="30" hidden="1" customWidth="1"/>
    <col min="47" max="50" width="11.42578125" style="30" hidden="1" customWidth="1"/>
    <col min="51" max="51" width="0" style="30" hidden="1" customWidth="1"/>
    <col min="52" max="52" width="0" style="31" hidden="1" customWidth="1"/>
    <col min="53" max="16384" width="11.42578125" style="31"/>
  </cols>
  <sheetData>
    <row r="1" spans="1:50" s="28" customFormat="1" ht="14.25" x14ac:dyDescent="0.2">
      <c r="C1" s="85" t="s">
        <v>129</v>
      </c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42"/>
      <c r="AS1" s="28">
        <v>990</v>
      </c>
      <c r="AT1" s="28">
        <f>COUNTA(Tabla1[Tienda])</f>
        <v>22</v>
      </c>
      <c r="AU1" s="28">
        <f>AS1/AT1</f>
        <v>45</v>
      </c>
      <c r="AX1" s="28">
        <f>COUNTA(D5:D73)</f>
        <v>66</v>
      </c>
    </row>
    <row r="2" spans="1:50" s="28" customFormat="1" x14ac:dyDescent="0.2">
      <c r="C2" s="17" t="s">
        <v>143</v>
      </c>
      <c r="D2" s="85" t="s">
        <v>159</v>
      </c>
      <c r="E2" s="85"/>
      <c r="F2" s="85"/>
      <c r="G2" s="85"/>
      <c r="H2" s="85"/>
      <c r="I2" s="85"/>
      <c r="J2" s="85"/>
      <c r="K2" s="85"/>
      <c r="L2" s="85"/>
      <c r="M2" s="85"/>
      <c r="N2" s="82" t="str">
        <f ca="1">"Fecha : " &amp; TEXT(TODAY(),"DD / MMmmmmm / YYYY")</f>
        <v>Fecha : 01 / septiembre / 2018</v>
      </c>
      <c r="O2" s="83"/>
      <c r="P2" s="83"/>
      <c r="Q2" s="83"/>
      <c r="R2" s="83"/>
      <c r="S2" s="83"/>
      <c r="T2" s="83"/>
      <c r="U2" s="83"/>
      <c r="V2" s="83"/>
      <c r="W2" s="83"/>
      <c r="X2" s="83"/>
      <c r="Y2" s="84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T2" s="28">
        <f>COUNTA(Tabla1[Tienda])+SUM(AW5:AW73)</f>
        <v>25</v>
      </c>
      <c r="AU2" s="28">
        <f>AS1/AT2</f>
        <v>39.6</v>
      </c>
    </row>
    <row r="3" spans="1:50" s="29" customFormat="1" ht="14.25" x14ac:dyDescent="0.3">
      <c r="C3" s="88" t="s">
        <v>145</v>
      </c>
      <c r="D3" s="86" t="s">
        <v>144</v>
      </c>
      <c r="E3" s="81">
        <v>1</v>
      </c>
      <c r="F3" s="81"/>
      <c r="G3" s="81"/>
      <c r="H3" s="81">
        <v>2</v>
      </c>
      <c r="I3" s="81"/>
      <c r="J3" s="81"/>
      <c r="K3" s="81">
        <v>3</v>
      </c>
      <c r="L3" s="81"/>
      <c r="M3" s="81"/>
      <c r="N3" s="81">
        <v>4</v>
      </c>
      <c r="O3" s="81"/>
      <c r="P3" s="81"/>
      <c r="Q3" s="81">
        <v>5</v>
      </c>
      <c r="R3" s="81"/>
      <c r="S3" s="81"/>
      <c r="T3" s="81">
        <v>6</v>
      </c>
      <c r="U3" s="81"/>
      <c r="V3" s="81"/>
      <c r="W3" s="81">
        <v>7</v>
      </c>
      <c r="X3" s="81"/>
      <c r="Y3" s="81"/>
      <c r="Z3" s="81">
        <v>8</v>
      </c>
      <c r="AA3" s="81"/>
      <c r="AB3" s="81"/>
      <c r="AC3" s="81">
        <v>9</v>
      </c>
      <c r="AD3" s="81"/>
      <c r="AE3" s="81"/>
      <c r="AF3" s="81">
        <v>10</v>
      </c>
      <c r="AG3" s="81"/>
      <c r="AH3" s="81"/>
      <c r="AI3" s="81">
        <v>11</v>
      </c>
      <c r="AJ3" s="81"/>
      <c r="AK3" s="81"/>
      <c r="AL3" s="81">
        <v>12</v>
      </c>
      <c r="AM3" s="81"/>
      <c r="AN3" s="81"/>
      <c r="AO3" s="81">
        <v>13</v>
      </c>
      <c r="AP3" s="81"/>
      <c r="AQ3" s="81"/>
    </row>
    <row r="4" spans="1:50" s="29" customFormat="1" ht="14.25" x14ac:dyDescent="0.3">
      <c r="A4" s="39" t="s">
        <v>151</v>
      </c>
      <c r="B4" s="41" t="s">
        <v>152</v>
      </c>
      <c r="C4" s="89"/>
      <c r="D4" s="87"/>
      <c r="E4" s="36" t="s">
        <v>130</v>
      </c>
      <c r="F4" s="37" t="s">
        <v>131</v>
      </c>
      <c r="G4" s="37" t="s">
        <v>132</v>
      </c>
      <c r="H4" s="38" t="s">
        <v>130</v>
      </c>
      <c r="I4" s="37" t="s">
        <v>131</v>
      </c>
      <c r="J4" s="37" t="s">
        <v>132</v>
      </c>
      <c r="K4" s="38" t="s">
        <v>130</v>
      </c>
      <c r="L4" s="37" t="s">
        <v>131</v>
      </c>
      <c r="M4" s="37" t="s">
        <v>132</v>
      </c>
      <c r="N4" s="38" t="s">
        <v>130</v>
      </c>
      <c r="O4" s="37" t="s">
        <v>131</v>
      </c>
      <c r="P4" s="37" t="s">
        <v>132</v>
      </c>
      <c r="Q4" s="38" t="s">
        <v>130</v>
      </c>
      <c r="R4" s="37" t="s">
        <v>131</v>
      </c>
      <c r="S4" s="37" t="s">
        <v>132</v>
      </c>
      <c r="T4" s="38" t="s">
        <v>130</v>
      </c>
      <c r="U4" s="37" t="s">
        <v>131</v>
      </c>
      <c r="V4" s="37" t="s">
        <v>132</v>
      </c>
      <c r="W4" s="38" t="s">
        <v>130</v>
      </c>
      <c r="X4" s="37" t="s">
        <v>131</v>
      </c>
      <c r="Y4" s="37" t="s">
        <v>132</v>
      </c>
      <c r="Z4" s="38" t="s">
        <v>130</v>
      </c>
      <c r="AA4" s="37" t="s">
        <v>131</v>
      </c>
      <c r="AB4" s="37" t="s">
        <v>132</v>
      </c>
      <c r="AC4" s="38" t="s">
        <v>130</v>
      </c>
      <c r="AD4" s="37" t="s">
        <v>131</v>
      </c>
      <c r="AE4" s="37" t="s">
        <v>132</v>
      </c>
      <c r="AF4" s="38" t="s">
        <v>130</v>
      </c>
      <c r="AG4" s="37" t="s">
        <v>131</v>
      </c>
      <c r="AH4" s="37" t="s">
        <v>132</v>
      </c>
      <c r="AI4" s="38" t="s">
        <v>130</v>
      </c>
      <c r="AJ4" s="37" t="s">
        <v>131</v>
      </c>
      <c r="AK4" s="37" t="s">
        <v>132</v>
      </c>
      <c r="AL4" s="38" t="s">
        <v>130</v>
      </c>
      <c r="AM4" s="37" t="s">
        <v>131</v>
      </c>
      <c r="AN4" s="37" t="s">
        <v>132</v>
      </c>
      <c r="AO4" s="38" t="s">
        <v>130</v>
      </c>
      <c r="AP4" s="37" t="s">
        <v>131</v>
      </c>
      <c r="AQ4" s="37" t="s">
        <v>132</v>
      </c>
    </row>
    <row r="5" spans="1:50" s="97" customFormat="1" ht="39.6" customHeight="1" x14ac:dyDescent="0.25">
      <c r="A5" s="40" t="str">
        <f>'PEGAR ACA'!H2</f>
        <v>3 BULEVAR</v>
      </c>
      <c r="B5" s="40">
        <f>'PEGAR ACA'!J2</f>
        <v>4</v>
      </c>
      <c r="C5" s="32" t="str">
        <f>A5</f>
        <v>3 BULEVAR</v>
      </c>
      <c r="D5" s="67">
        <f>B5</f>
        <v>4</v>
      </c>
      <c r="E5" s="33"/>
      <c r="F5" s="34"/>
      <c r="G5" s="34"/>
      <c r="H5" s="35"/>
      <c r="I5" s="34"/>
      <c r="J5" s="34"/>
      <c r="K5" s="33"/>
      <c r="L5" s="34"/>
      <c r="M5" s="34"/>
      <c r="N5" s="33"/>
      <c r="O5" s="34"/>
      <c r="P5" s="34"/>
      <c r="Q5" s="33"/>
      <c r="R5" s="34"/>
      <c r="S5" s="34"/>
      <c r="T5" s="33"/>
      <c r="U5" s="34"/>
      <c r="V5" s="34"/>
      <c r="W5" s="33"/>
      <c r="X5" s="34"/>
      <c r="Y5" s="34"/>
      <c r="Z5" s="33"/>
      <c r="AA5" s="34"/>
      <c r="AB5" s="34"/>
      <c r="AC5" s="33"/>
      <c r="AD5" s="34"/>
      <c r="AE5" s="34"/>
      <c r="AF5" s="33"/>
      <c r="AG5" s="34"/>
      <c r="AH5" s="34"/>
      <c r="AI5" s="33"/>
      <c r="AJ5" s="34"/>
      <c r="AK5" s="34"/>
      <c r="AL5" s="33"/>
      <c r="AM5" s="34"/>
      <c r="AN5" s="34"/>
      <c r="AO5" s="33"/>
      <c r="AP5" s="34"/>
      <c r="AQ5" s="34"/>
      <c r="AT5" s="97" t="s">
        <v>153</v>
      </c>
      <c r="AU5" s="97" t="s">
        <v>136</v>
      </c>
      <c r="AV5" s="97" t="s">
        <v>137</v>
      </c>
      <c r="AW5" s="97">
        <f>ROUNDDOWN((D5-1)/13,0)</f>
        <v>0</v>
      </c>
    </row>
    <row r="6" spans="1:50" s="97" customFormat="1" ht="39.6" customHeight="1" x14ac:dyDescent="0.25">
      <c r="A6" s="40" t="str">
        <f>'PEGAR ACA'!H3</f>
        <v>11 CALLE 80</v>
      </c>
      <c r="B6" s="40">
        <f>'PEGAR ACA'!J3</f>
        <v>5</v>
      </c>
      <c r="C6" s="32" t="str">
        <f t="shared" ref="C6:C69" si="0">A6</f>
        <v>11 CALLE 80</v>
      </c>
      <c r="D6" s="67">
        <f t="shared" ref="D6:D69" si="1">B6</f>
        <v>5</v>
      </c>
      <c r="E6" s="33"/>
      <c r="F6" s="34"/>
      <c r="G6" s="34"/>
      <c r="H6" s="33"/>
      <c r="I6" s="34"/>
      <c r="J6" s="34"/>
      <c r="K6" s="33"/>
      <c r="L6" s="34"/>
      <c r="M6" s="34"/>
      <c r="N6" s="33"/>
      <c r="O6" s="34"/>
      <c r="P6" s="34"/>
      <c r="Q6" s="33"/>
      <c r="R6" s="34"/>
      <c r="S6" s="34"/>
      <c r="T6" s="33"/>
      <c r="U6" s="34"/>
      <c r="V6" s="34"/>
      <c r="W6" s="33"/>
      <c r="X6" s="34"/>
      <c r="Y6" s="34"/>
      <c r="Z6" s="33"/>
      <c r="AA6" s="34"/>
      <c r="AB6" s="34"/>
      <c r="AC6" s="33"/>
      <c r="AD6" s="34"/>
      <c r="AE6" s="34"/>
      <c r="AF6" s="33"/>
      <c r="AG6" s="34"/>
      <c r="AH6" s="34"/>
      <c r="AI6" s="33"/>
      <c r="AJ6" s="34"/>
      <c r="AK6" s="34"/>
      <c r="AL6" s="33"/>
      <c r="AM6" s="34"/>
      <c r="AN6" s="34"/>
      <c r="AO6" s="33"/>
      <c r="AP6" s="34"/>
      <c r="AQ6" s="34"/>
      <c r="AT6" s="97" t="str">
        <f t="array" ref="AT6">"A4:B"&amp;(COUNTA(Tabla1[Tienda])+4)</f>
        <v>A4:B26</v>
      </c>
      <c r="AU6" s="97" t="str">
        <f>"C1:AQ"&amp;(COUNTA(Tabla1[Tienda])+4)</f>
        <v>C1:AQ26</v>
      </c>
      <c r="AV6" s="97" t="str">
        <f>"C1:AQ"&amp;(COUNTA(Tabla1[Tienda])+4+SUM(AW5:AW73))</f>
        <v>C1:AQ29</v>
      </c>
      <c r="AW6" s="97">
        <f t="shared" ref="AW6:AW72" si="2">ROUNDDOWN((D6-1)/13,0)</f>
        <v>0</v>
      </c>
    </row>
    <row r="7" spans="1:50" s="97" customFormat="1" ht="39.6" customHeight="1" x14ac:dyDescent="0.25">
      <c r="A7" s="40" t="str">
        <f>'PEGAR ACA'!H4</f>
        <v>14 CALLE 170</v>
      </c>
      <c r="B7" s="40">
        <f>'PEGAR ACA'!J4</f>
        <v>5</v>
      </c>
      <c r="C7" s="32" t="str">
        <f t="shared" si="0"/>
        <v>14 CALLE 170</v>
      </c>
      <c r="D7" s="67">
        <f t="shared" si="1"/>
        <v>5</v>
      </c>
      <c r="E7" s="33"/>
      <c r="F7" s="34"/>
      <c r="G7" s="34"/>
      <c r="H7" s="33"/>
      <c r="I7" s="34"/>
      <c r="J7" s="34"/>
      <c r="K7" s="33"/>
      <c r="L7" s="34"/>
      <c r="M7" s="34"/>
      <c r="N7" s="33"/>
      <c r="O7" s="34"/>
      <c r="P7" s="34"/>
      <c r="Q7" s="33"/>
      <c r="R7" s="34"/>
      <c r="S7" s="34"/>
      <c r="T7" s="33"/>
      <c r="U7" s="34"/>
      <c r="V7" s="34"/>
      <c r="W7" s="33"/>
      <c r="X7" s="34"/>
      <c r="Y7" s="34"/>
      <c r="Z7" s="33"/>
      <c r="AA7" s="34"/>
      <c r="AB7" s="34"/>
      <c r="AC7" s="33"/>
      <c r="AD7" s="34"/>
      <c r="AE7" s="34"/>
      <c r="AF7" s="33"/>
      <c r="AG7" s="34"/>
      <c r="AH7" s="34"/>
      <c r="AI7" s="33"/>
      <c r="AJ7" s="34"/>
      <c r="AK7" s="34"/>
      <c r="AL7" s="33"/>
      <c r="AM7" s="34"/>
      <c r="AN7" s="34"/>
      <c r="AO7" s="33"/>
      <c r="AP7" s="34"/>
      <c r="AQ7" s="34"/>
      <c r="AT7" s="97" t="str">
        <f t="array" ref="AT7">"A4:B"&amp;(COUNTA(Tabla1[Tienda])+4)</f>
        <v>A4:B26</v>
      </c>
      <c r="AU7" s="97" t="str">
        <f>"C1:AQ"&amp;(COUNTA(Tabla1[Tienda])+4)</f>
        <v>C1:AQ26</v>
      </c>
      <c r="AV7" s="97" t="str">
        <f>"C1:AQ"&amp;(COUNTA(Tabla1[Tienda])+4+SUM(AW6:AW73))</f>
        <v>C1:AQ29</v>
      </c>
      <c r="AW7" s="97">
        <f t="shared" si="2"/>
        <v>0</v>
      </c>
    </row>
    <row r="8" spans="1:50" s="97" customFormat="1" ht="39.6" customHeight="1" x14ac:dyDescent="0.25">
      <c r="A8" s="40" t="str">
        <f>'PEGAR ACA'!H5</f>
        <v>15 HAYUELOS</v>
      </c>
      <c r="B8" s="40">
        <f>'PEGAR ACA'!J5</f>
        <v>5</v>
      </c>
      <c r="C8" s="32" t="str">
        <f t="shared" si="0"/>
        <v>15 HAYUELOS</v>
      </c>
      <c r="D8" s="67">
        <f t="shared" si="1"/>
        <v>5</v>
      </c>
      <c r="E8" s="33"/>
      <c r="F8" s="34"/>
      <c r="G8" s="34"/>
      <c r="H8" s="33"/>
      <c r="I8" s="34"/>
      <c r="J8" s="34"/>
      <c r="K8" s="33"/>
      <c r="L8" s="34"/>
      <c r="M8" s="34"/>
      <c r="N8" s="33"/>
      <c r="O8" s="34"/>
      <c r="P8" s="34"/>
      <c r="Q8" s="33"/>
      <c r="R8" s="34"/>
      <c r="S8" s="34"/>
      <c r="T8" s="33"/>
      <c r="U8" s="34"/>
      <c r="V8" s="34"/>
      <c r="W8" s="33"/>
      <c r="X8" s="34"/>
      <c r="Y8" s="34"/>
      <c r="Z8" s="33"/>
      <c r="AA8" s="34"/>
      <c r="AB8" s="34"/>
      <c r="AC8" s="33"/>
      <c r="AD8" s="34"/>
      <c r="AE8" s="34"/>
      <c r="AF8" s="33"/>
      <c r="AG8" s="34"/>
      <c r="AH8" s="34"/>
      <c r="AI8" s="33"/>
      <c r="AJ8" s="34"/>
      <c r="AK8" s="34"/>
      <c r="AL8" s="33"/>
      <c r="AM8" s="34"/>
      <c r="AN8" s="34"/>
      <c r="AO8" s="33"/>
      <c r="AP8" s="34"/>
      <c r="AQ8" s="34"/>
      <c r="AT8" s="97" t="str">
        <f t="array" ref="AT8">"A4:B"&amp;(COUNTA(Tabla1[Tienda])+4)</f>
        <v>A4:B26</v>
      </c>
      <c r="AU8" s="97" t="str">
        <f>"C1:AQ"&amp;(COUNTA(Tabla1[Tienda])+4)</f>
        <v>C1:AQ26</v>
      </c>
      <c r="AV8" s="97" t="str">
        <f>"C1:AQ"&amp;(COUNTA(Tabla1[Tienda])+4+SUM(AW7:AW75))</f>
        <v>C1:AQ29</v>
      </c>
      <c r="AW8" s="97">
        <f t="shared" si="2"/>
        <v>0</v>
      </c>
    </row>
    <row r="9" spans="1:50" s="97" customFormat="1" ht="39.6" customHeight="1" x14ac:dyDescent="0.25">
      <c r="A9" s="40" t="str">
        <f>'PEGAR ACA'!H6</f>
        <v>16 CARRERA 30 BOGOTA</v>
      </c>
      <c r="B9" s="40">
        <f>'PEGAR ACA'!J6</f>
        <v>3</v>
      </c>
      <c r="C9" s="32" t="str">
        <f t="shared" si="0"/>
        <v>16 CARRERA 30 BOGOTA</v>
      </c>
      <c r="D9" s="67">
        <f t="shared" si="1"/>
        <v>3</v>
      </c>
      <c r="E9" s="33"/>
      <c r="F9" s="34"/>
      <c r="G9" s="34"/>
      <c r="H9" s="33"/>
      <c r="I9" s="34"/>
      <c r="J9" s="34"/>
      <c r="K9" s="33"/>
      <c r="L9" s="34"/>
      <c r="M9" s="34"/>
      <c r="N9" s="33"/>
      <c r="O9" s="34"/>
      <c r="P9" s="34"/>
      <c r="Q9" s="33"/>
      <c r="R9" s="34"/>
      <c r="S9" s="34"/>
      <c r="T9" s="33"/>
      <c r="U9" s="34"/>
      <c r="V9" s="34"/>
      <c r="W9" s="33"/>
      <c r="X9" s="34"/>
      <c r="Y9" s="34"/>
      <c r="Z9" s="33"/>
      <c r="AA9" s="34"/>
      <c r="AB9" s="34"/>
      <c r="AC9" s="33"/>
      <c r="AD9" s="34"/>
      <c r="AE9" s="34"/>
      <c r="AF9" s="33"/>
      <c r="AG9" s="34"/>
      <c r="AH9" s="34"/>
      <c r="AI9" s="33"/>
      <c r="AJ9" s="34"/>
      <c r="AK9" s="34"/>
      <c r="AL9" s="33"/>
      <c r="AM9" s="34"/>
      <c r="AN9" s="34"/>
      <c r="AO9" s="33"/>
      <c r="AP9" s="34"/>
      <c r="AQ9" s="34"/>
      <c r="AT9" s="97" t="str">
        <f t="array" ref="AT9">"A4:B"&amp;(COUNTA(Tabla1[Tienda])+4)</f>
        <v>A4:B26</v>
      </c>
      <c r="AU9" s="97" t="str">
        <f>"C1:AQ"&amp;(COUNTA(Tabla1[Tienda])+4)</f>
        <v>C1:AQ26</v>
      </c>
      <c r="AV9" s="97" t="str">
        <f>"C1:AQ"&amp;(COUNTA(Tabla1[Tienda])+4+SUM(AW7:AW73))</f>
        <v>C1:AQ29</v>
      </c>
      <c r="AW9" s="97">
        <f t="shared" si="2"/>
        <v>0</v>
      </c>
    </row>
    <row r="10" spans="1:50" s="97" customFormat="1" ht="39.6" customHeight="1" x14ac:dyDescent="0.25">
      <c r="A10" s="40" t="str">
        <f>'PEGAR ACA'!H7</f>
        <v>19 SANTA ANA</v>
      </c>
      <c r="B10" s="40">
        <f>'PEGAR ACA'!J7</f>
        <v>11</v>
      </c>
      <c r="C10" s="32" t="str">
        <f t="shared" si="0"/>
        <v>19 SANTA ANA</v>
      </c>
      <c r="D10" s="67">
        <f t="shared" si="1"/>
        <v>11</v>
      </c>
      <c r="E10" s="33"/>
      <c r="F10" s="34"/>
      <c r="G10" s="34"/>
      <c r="H10" s="33"/>
      <c r="I10" s="34"/>
      <c r="J10" s="34"/>
      <c r="K10" s="33"/>
      <c r="L10" s="34"/>
      <c r="M10" s="34"/>
      <c r="N10" s="33"/>
      <c r="O10" s="34"/>
      <c r="P10" s="34"/>
      <c r="Q10" s="33"/>
      <c r="R10" s="34"/>
      <c r="S10" s="34"/>
      <c r="T10" s="33"/>
      <c r="U10" s="34"/>
      <c r="V10" s="34"/>
      <c r="W10" s="33"/>
      <c r="X10" s="34"/>
      <c r="Y10" s="34"/>
      <c r="Z10" s="33"/>
      <c r="AA10" s="34"/>
      <c r="AB10" s="34"/>
      <c r="AC10" s="33"/>
      <c r="AD10" s="34"/>
      <c r="AE10" s="34"/>
      <c r="AF10" s="33"/>
      <c r="AG10" s="34"/>
      <c r="AH10" s="34"/>
      <c r="AI10" s="33"/>
      <c r="AJ10" s="34"/>
      <c r="AK10" s="34"/>
      <c r="AL10" s="33"/>
      <c r="AM10" s="34"/>
      <c r="AN10" s="34"/>
      <c r="AO10" s="33"/>
      <c r="AP10" s="34"/>
      <c r="AQ10" s="34"/>
      <c r="AT10" s="97" t="str">
        <f t="array" ref="AT10">"A4:B"&amp;(COUNTA(Tabla1[Tienda])+4)</f>
        <v>A4:B26</v>
      </c>
      <c r="AU10" s="97" t="str">
        <f>"C1:AQ"&amp;(COUNTA(Tabla1[Tienda])+4)</f>
        <v>C1:AQ26</v>
      </c>
      <c r="AV10" s="97" t="str">
        <f>"C1:AQ"&amp;(COUNTA(Tabla1[Tienda])+4+SUM(AW9:AW77))</f>
        <v>C1:AQ29</v>
      </c>
      <c r="AW10" s="97">
        <f t="shared" si="2"/>
        <v>0</v>
      </c>
    </row>
    <row r="11" spans="1:50" s="97" customFormat="1" ht="39.6" customHeight="1" x14ac:dyDescent="0.25">
      <c r="A11" s="40" t="str">
        <f>'PEGAR ACA'!H8</f>
        <v>44 CHIA</v>
      </c>
      <c r="B11" s="40">
        <f>'PEGAR ACA'!J8</f>
        <v>1</v>
      </c>
      <c r="C11" s="32" t="str">
        <f t="shared" si="0"/>
        <v>44 CHIA</v>
      </c>
      <c r="D11" s="67">
        <f t="shared" si="1"/>
        <v>1</v>
      </c>
      <c r="E11" s="33"/>
      <c r="F11" s="34"/>
      <c r="G11" s="34"/>
      <c r="H11" s="33"/>
      <c r="I11" s="34"/>
      <c r="J11" s="34"/>
      <c r="K11" s="33"/>
      <c r="L11" s="34"/>
      <c r="M11" s="34"/>
      <c r="N11" s="33"/>
      <c r="O11" s="34"/>
      <c r="P11" s="34"/>
      <c r="Q11" s="33"/>
      <c r="R11" s="34"/>
      <c r="S11" s="34"/>
      <c r="T11" s="33"/>
      <c r="U11" s="34"/>
      <c r="V11" s="34"/>
      <c r="W11" s="33"/>
      <c r="X11" s="34"/>
      <c r="Y11" s="34"/>
      <c r="Z11" s="33"/>
      <c r="AA11" s="34"/>
      <c r="AB11" s="34"/>
      <c r="AC11" s="33"/>
      <c r="AD11" s="34"/>
      <c r="AE11" s="34"/>
      <c r="AF11" s="33"/>
      <c r="AG11" s="34"/>
      <c r="AH11" s="34"/>
      <c r="AI11" s="33"/>
      <c r="AJ11" s="34"/>
      <c r="AK11" s="34"/>
      <c r="AL11" s="33"/>
      <c r="AM11" s="34"/>
      <c r="AN11" s="34"/>
      <c r="AO11" s="33"/>
      <c r="AP11" s="34"/>
      <c r="AQ11" s="34"/>
      <c r="AT11" s="97" t="str">
        <f t="array" ref="AT11">"A4:B"&amp;(COUNTA(Tabla1[Tienda])+4)</f>
        <v>A4:B26</v>
      </c>
      <c r="AU11" s="97" t="str">
        <f>"C1:AQ"&amp;(COUNTA(Tabla1[Tienda])+4)</f>
        <v>C1:AQ26</v>
      </c>
      <c r="AV11" s="97" t="str">
        <f>"C1:AQ"&amp;(COUNTA(Tabla1[Tienda])+4+SUM(AW6:AW73))</f>
        <v>C1:AQ29</v>
      </c>
      <c r="AW11" s="97">
        <f t="shared" si="2"/>
        <v>0</v>
      </c>
    </row>
    <row r="12" spans="1:50" s="97" customFormat="1" ht="39.6" customHeight="1" x14ac:dyDescent="0.25">
      <c r="A12" s="40" t="str">
        <f>'PEGAR ACA'!H9</f>
        <v>70 SUBA</v>
      </c>
      <c r="B12" s="40">
        <f>'PEGAR ACA'!J9</f>
        <v>1</v>
      </c>
      <c r="C12" s="32" t="str">
        <f t="shared" si="0"/>
        <v>70 SUBA</v>
      </c>
      <c r="D12" s="67">
        <f t="shared" si="1"/>
        <v>1</v>
      </c>
      <c r="E12" s="33"/>
      <c r="F12" s="34"/>
      <c r="G12" s="34"/>
      <c r="H12" s="33"/>
      <c r="I12" s="34"/>
      <c r="J12" s="34"/>
      <c r="K12" s="33"/>
      <c r="L12" s="34"/>
      <c r="M12" s="34"/>
      <c r="N12" s="33"/>
      <c r="O12" s="34"/>
      <c r="P12" s="34"/>
      <c r="Q12" s="33"/>
      <c r="R12" s="34"/>
      <c r="S12" s="34"/>
      <c r="T12" s="33"/>
      <c r="U12" s="34"/>
      <c r="V12" s="34"/>
      <c r="W12" s="33"/>
      <c r="X12" s="34"/>
      <c r="Y12" s="34"/>
      <c r="Z12" s="33"/>
      <c r="AA12" s="34"/>
      <c r="AB12" s="34"/>
      <c r="AC12" s="33"/>
      <c r="AD12" s="34"/>
      <c r="AE12" s="34"/>
      <c r="AF12" s="33"/>
      <c r="AG12" s="34"/>
      <c r="AH12" s="34"/>
      <c r="AI12" s="33"/>
      <c r="AJ12" s="34"/>
      <c r="AK12" s="34"/>
      <c r="AL12" s="33"/>
      <c r="AM12" s="34"/>
      <c r="AN12" s="34"/>
      <c r="AO12" s="33"/>
      <c r="AP12" s="34"/>
      <c r="AQ12" s="34"/>
      <c r="AT12" s="97" t="str">
        <f t="array" ref="AT12">"A4:B"&amp;(COUNTA(Tabla1[Tienda])+4)</f>
        <v>A4:B26</v>
      </c>
      <c r="AU12" s="97" t="str">
        <f>"C1:AQ"&amp;(COUNTA(Tabla1[Tienda])+4)</f>
        <v>C1:AQ26</v>
      </c>
      <c r="AV12" s="97" t="str">
        <f>"C1:AQ"&amp;(COUNTA(Tabla1[Tienda])+4+SUM(AW11:AW77))</f>
        <v>C1:AQ29</v>
      </c>
      <c r="AW12" s="97">
        <f t="shared" si="2"/>
        <v>0</v>
      </c>
    </row>
    <row r="13" spans="1:50" s="97" customFormat="1" ht="39.6" customHeight="1" x14ac:dyDescent="0.25">
      <c r="A13" s="40" t="str">
        <f>'PEGAR ACA'!H10</f>
        <v>72 SANTA FE</v>
      </c>
      <c r="B13" s="40">
        <f>'PEGAR ACA'!J10</f>
        <v>3</v>
      </c>
      <c r="C13" s="32" t="str">
        <f t="shared" si="0"/>
        <v>72 SANTA FE</v>
      </c>
      <c r="D13" s="67">
        <f t="shared" si="1"/>
        <v>3</v>
      </c>
      <c r="E13" s="33"/>
      <c r="F13" s="34"/>
      <c r="G13" s="34"/>
      <c r="H13" s="33"/>
      <c r="I13" s="34"/>
      <c r="J13" s="34"/>
      <c r="K13" s="33"/>
      <c r="L13" s="34"/>
      <c r="M13" s="34"/>
      <c r="N13" s="33"/>
      <c r="O13" s="34"/>
      <c r="P13" s="34"/>
      <c r="Q13" s="33"/>
      <c r="R13" s="34"/>
      <c r="S13" s="34"/>
      <c r="T13" s="33"/>
      <c r="U13" s="34"/>
      <c r="V13" s="34"/>
      <c r="W13" s="33"/>
      <c r="X13" s="34"/>
      <c r="Y13" s="34"/>
      <c r="Z13" s="33"/>
      <c r="AA13" s="34"/>
      <c r="AB13" s="34"/>
      <c r="AC13" s="33"/>
      <c r="AD13" s="34"/>
      <c r="AE13" s="34"/>
      <c r="AF13" s="33"/>
      <c r="AG13" s="34"/>
      <c r="AH13" s="34"/>
      <c r="AI13" s="33"/>
      <c r="AJ13" s="34"/>
      <c r="AK13" s="34"/>
      <c r="AL13" s="33"/>
      <c r="AM13" s="34"/>
      <c r="AN13" s="34"/>
      <c r="AO13" s="33"/>
      <c r="AP13" s="34"/>
      <c r="AQ13" s="34"/>
      <c r="AT13" s="97" t="str">
        <f t="array" ref="AT13">"A4:B"&amp;(COUNTA(Tabla1[Tienda])+4)</f>
        <v>A4:B26</v>
      </c>
      <c r="AU13" s="97" t="str">
        <f>"C1:AQ"&amp;(COUNTA(Tabla1[Tienda])+4)</f>
        <v>C1:AQ26</v>
      </c>
      <c r="AV13" s="97" t="str">
        <f>"C1:AQ"&amp;(COUNTA(Tabla1[Tienda])+4+SUM(AW11:AW73))</f>
        <v>C1:AQ29</v>
      </c>
      <c r="AW13" s="97">
        <f t="shared" si="2"/>
        <v>0</v>
      </c>
    </row>
    <row r="14" spans="1:50" s="97" customFormat="1" ht="39.6" customHeight="1" x14ac:dyDescent="0.25">
      <c r="A14" s="40" t="str">
        <f>'PEGAR ACA'!H11</f>
        <v>167 TITAN</v>
      </c>
      <c r="B14" s="40">
        <f>'PEGAR ACA'!J11</f>
        <v>1</v>
      </c>
      <c r="C14" s="75" t="str">
        <f t="shared" si="0"/>
        <v>167 TITAN</v>
      </c>
      <c r="D14" s="73">
        <f t="shared" si="1"/>
        <v>1</v>
      </c>
      <c r="E14" s="61"/>
      <c r="F14" s="60"/>
      <c r="G14" s="60"/>
      <c r="H14" s="61"/>
      <c r="I14" s="60"/>
      <c r="J14" s="60"/>
      <c r="K14" s="61"/>
      <c r="L14" s="60"/>
      <c r="M14" s="60"/>
      <c r="N14" s="61"/>
      <c r="O14" s="60"/>
      <c r="P14" s="60"/>
      <c r="Q14" s="61"/>
      <c r="R14" s="60"/>
      <c r="S14" s="60"/>
      <c r="T14" s="61"/>
      <c r="U14" s="60"/>
      <c r="V14" s="60"/>
      <c r="W14" s="61"/>
      <c r="X14" s="60"/>
      <c r="Y14" s="60"/>
      <c r="Z14" s="61"/>
      <c r="AA14" s="60"/>
      <c r="AB14" s="60"/>
      <c r="AC14" s="61"/>
      <c r="AD14" s="60"/>
      <c r="AE14" s="60"/>
      <c r="AF14" s="61"/>
      <c r="AG14" s="60"/>
      <c r="AH14" s="60"/>
      <c r="AI14" s="61"/>
      <c r="AJ14" s="60"/>
      <c r="AK14" s="60"/>
      <c r="AL14" s="61"/>
      <c r="AM14" s="60"/>
      <c r="AN14" s="60"/>
      <c r="AO14" s="61"/>
      <c r="AP14" s="60"/>
      <c r="AQ14" s="60"/>
      <c r="AT14" s="97" t="str">
        <f t="array" ref="AT14">"A4:B"&amp;(COUNTA(Tabla1[Tienda])+4)</f>
        <v>A4:B26</v>
      </c>
      <c r="AU14" s="97" t="str">
        <f>"C1:AQ"&amp;(COUNTA(Tabla1[Tienda])+4)</f>
        <v>C1:AQ26</v>
      </c>
      <c r="AV14" s="97" t="str">
        <f>"C1:AQ"&amp;(COUNTA(Tabla1[Tienda])+4+SUM(AW11:AW73))</f>
        <v>C1:AQ29</v>
      </c>
      <c r="AW14" s="97">
        <f t="shared" si="2"/>
        <v>0</v>
      </c>
    </row>
    <row r="15" spans="1:50" s="97" customFormat="1" ht="39.6" customHeight="1" thickBot="1" x14ac:dyDescent="0.3">
      <c r="A15" s="40" t="str">
        <f>'PEGAR ACA'!H12</f>
        <v>191 BAZZAR</v>
      </c>
      <c r="B15" s="40">
        <f>'PEGAR ACA'!J12</f>
        <v>2</v>
      </c>
      <c r="C15" s="62" t="str">
        <f t="shared" si="0"/>
        <v>191 BAZZAR</v>
      </c>
      <c r="D15" s="63">
        <f t="shared" si="1"/>
        <v>2</v>
      </c>
      <c r="E15" s="64"/>
      <c r="F15" s="65"/>
      <c r="G15" s="65"/>
      <c r="H15" s="64"/>
      <c r="I15" s="65"/>
      <c r="J15" s="65"/>
      <c r="K15" s="64"/>
      <c r="L15" s="65"/>
      <c r="M15" s="65"/>
      <c r="N15" s="64"/>
      <c r="O15" s="65"/>
      <c r="P15" s="65"/>
      <c r="Q15" s="64"/>
      <c r="R15" s="65"/>
      <c r="S15" s="65"/>
      <c r="T15" s="64"/>
      <c r="U15" s="65"/>
      <c r="V15" s="65"/>
      <c r="W15" s="64"/>
      <c r="X15" s="65"/>
      <c r="Y15" s="65"/>
      <c r="Z15" s="64"/>
      <c r="AA15" s="65"/>
      <c r="AB15" s="65"/>
      <c r="AC15" s="64"/>
      <c r="AD15" s="65"/>
      <c r="AE15" s="65"/>
      <c r="AF15" s="64"/>
      <c r="AG15" s="65"/>
      <c r="AH15" s="65"/>
      <c r="AI15" s="64"/>
      <c r="AJ15" s="65"/>
      <c r="AK15" s="65"/>
      <c r="AL15" s="64"/>
      <c r="AM15" s="65"/>
      <c r="AN15" s="65"/>
      <c r="AO15" s="64"/>
      <c r="AP15" s="65"/>
      <c r="AQ15" s="65"/>
      <c r="AT15" s="97" t="str">
        <f t="array" ref="AT15">"A4:B"&amp;(COUNTA(Tabla1[Tienda])+4)</f>
        <v>A4:B26</v>
      </c>
      <c r="AU15" s="97" t="str">
        <f>"C1:AQ"&amp;(COUNTA(Tabla1[Tienda])+4)</f>
        <v>C1:AQ26</v>
      </c>
      <c r="AV15" s="97" t="str">
        <f>"C1:AQ"&amp;(COUNTA(Tabla1[Tienda])+4+SUM(AW6:AW73))</f>
        <v>C1:AQ29</v>
      </c>
      <c r="AW15" s="97">
        <f t="shared" si="2"/>
        <v>0</v>
      </c>
    </row>
    <row r="16" spans="1:50" s="97" customFormat="1" ht="39.6" customHeight="1" x14ac:dyDescent="0.25">
      <c r="A16" s="40" t="str">
        <f>'PEGAR ACA'!H13</f>
        <v>40 RIOHACHA</v>
      </c>
      <c r="B16" s="40">
        <f>'PEGAR ACA'!J13</f>
        <v>6</v>
      </c>
      <c r="C16" s="76" t="str">
        <f t="shared" si="0"/>
        <v>40 RIOHACHA</v>
      </c>
      <c r="D16" s="74">
        <f t="shared" si="1"/>
        <v>6</v>
      </c>
      <c r="E16" s="59"/>
      <c r="F16" s="58"/>
      <c r="G16" s="58"/>
      <c r="H16" s="59"/>
      <c r="I16" s="58"/>
      <c r="J16" s="58"/>
      <c r="K16" s="59"/>
      <c r="L16" s="58"/>
      <c r="M16" s="58"/>
      <c r="N16" s="59"/>
      <c r="O16" s="58"/>
      <c r="P16" s="58"/>
      <c r="Q16" s="59"/>
      <c r="R16" s="58"/>
      <c r="S16" s="58"/>
      <c r="T16" s="59"/>
      <c r="U16" s="58"/>
      <c r="V16" s="58"/>
      <c r="W16" s="59"/>
      <c r="X16" s="58"/>
      <c r="Y16" s="58"/>
      <c r="Z16" s="59"/>
      <c r="AA16" s="58"/>
      <c r="AB16" s="58"/>
      <c r="AC16" s="59"/>
      <c r="AD16" s="58"/>
      <c r="AE16" s="58"/>
      <c r="AF16" s="59"/>
      <c r="AG16" s="58"/>
      <c r="AH16" s="58"/>
      <c r="AI16" s="59"/>
      <c r="AJ16" s="58"/>
      <c r="AK16" s="58"/>
      <c r="AL16" s="59"/>
      <c r="AM16" s="58"/>
      <c r="AN16" s="58"/>
      <c r="AO16" s="59"/>
      <c r="AP16" s="58"/>
      <c r="AQ16" s="58"/>
      <c r="AT16" s="97" t="str">
        <f t="array" ref="AT16">"A4:B"&amp;(COUNTA(Tabla1[Tienda])+4)</f>
        <v>A4:B26</v>
      </c>
      <c r="AU16" s="97" t="str">
        <f>"C1:AQ"&amp;(COUNTA(Tabla1[Tienda])+4)</f>
        <v>C1:AQ26</v>
      </c>
      <c r="AV16" s="97" t="str">
        <f>"C1:AQ"&amp;(COUNTA(Tabla1[Tienda])+4+SUM(AW15:AW73))</f>
        <v>C1:AQ29</v>
      </c>
      <c r="AW16" s="97">
        <f t="shared" si="2"/>
        <v>0</v>
      </c>
    </row>
    <row r="17" spans="1:49" s="97" customFormat="1" ht="39.6" customHeight="1" x14ac:dyDescent="0.25">
      <c r="A17" s="40"/>
      <c r="B17" s="40"/>
      <c r="C17" s="79" t="str">
        <f>A18</f>
        <v>43 ALTOS DEL PRADO</v>
      </c>
      <c r="D17" s="77">
        <f>B18</f>
        <v>17</v>
      </c>
      <c r="E17" s="33"/>
      <c r="F17" s="34"/>
      <c r="G17" s="34"/>
      <c r="H17" s="33"/>
      <c r="I17" s="34"/>
      <c r="J17" s="34"/>
      <c r="K17" s="33"/>
      <c r="L17" s="34"/>
      <c r="M17" s="34"/>
      <c r="N17" s="33"/>
      <c r="O17" s="34"/>
      <c r="P17" s="34"/>
      <c r="Q17" s="33"/>
      <c r="R17" s="34"/>
      <c r="S17" s="34"/>
      <c r="T17" s="33"/>
      <c r="U17" s="34"/>
      <c r="V17" s="34"/>
      <c r="W17" s="33"/>
      <c r="X17" s="34"/>
      <c r="Y17" s="34"/>
      <c r="Z17" s="33"/>
      <c r="AA17" s="34"/>
      <c r="AB17" s="34"/>
      <c r="AC17" s="33"/>
      <c r="AD17" s="34"/>
      <c r="AE17" s="34"/>
      <c r="AF17" s="33"/>
      <c r="AG17" s="34"/>
      <c r="AH17" s="34"/>
      <c r="AI17" s="33"/>
      <c r="AJ17" s="34"/>
      <c r="AK17" s="34"/>
      <c r="AL17" s="33"/>
      <c r="AM17" s="34"/>
      <c r="AN17" s="34"/>
      <c r="AO17" s="33"/>
      <c r="AP17" s="34"/>
      <c r="AQ17" s="34"/>
      <c r="AT17" s="97" t="str">
        <f t="array" ref="AT17">"A4:B"&amp;(COUNTA(Tabla1[Tienda])+4)</f>
        <v>A4:B26</v>
      </c>
      <c r="AU17" s="97" t="str">
        <f>"C1:AQ"&amp;(COUNTA(Tabla1[Tienda])+4)</f>
        <v>C1:AQ26</v>
      </c>
      <c r="AV17" s="97" t="str">
        <f>"C1:AQ"&amp;(COUNTA(Tabla1[Tienda])+4+SUM(AW16:AW84))</f>
        <v>C1:AQ29</v>
      </c>
    </row>
    <row r="18" spans="1:49" s="97" customFormat="1" ht="39.6" customHeight="1" x14ac:dyDescent="0.25">
      <c r="A18" s="40" t="str">
        <f>'PEGAR ACA'!H14</f>
        <v>43 ALTOS DEL PRADO</v>
      </c>
      <c r="B18" s="40">
        <f>'PEGAR ACA'!J14</f>
        <v>17</v>
      </c>
      <c r="C18" s="80"/>
      <c r="D18" s="78"/>
      <c r="E18" s="33"/>
      <c r="F18" s="34"/>
      <c r="G18" s="34"/>
      <c r="H18" s="33"/>
      <c r="I18" s="34"/>
      <c r="J18" s="34"/>
      <c r="K18" s="33"/>
      <c r="L18" s="34"/>
      <c r="M18" s="34"/>
      <c r="N18" s="33"/>
      <c r="O18" s="34"/>
      <c r="P18" s="34"/>
      <c r="Q18" s="33"/>
      <c r="R18" s="34"/>
      <c r="S18" s="34"/>
      <c r="T18" s="33"/>
      <c r="U18" s="34"/>
      <c r="V18" s="34"/>
      <c r="W18" s="33"/>
      <c r="X18" s="34"/>
      <c r="Y18" s="34"/>
      <c r="Z18" s="33"/>
      <c r="AA18" s="34"/>
      <c r="AB18" s="34"/>
      <c r="AC18" s="33"/>
      <c r="AD18" s="34"/>
      <c r="AE18" s="34"/>
      <c r="AF18" s="33"/>
      <c r="AG18" s="34"/>
      <c r="AH18" s="34"/>
      <c r="AI18" s="33"/>
      <c r="AJ18" s="34"/>
      <c r="AK18" s="34"/>
      <c r="AL18" s="33"/>
      <c r="AM18" s="34"/>
      <c r="AN18" s="34"/>
      <c r="AO18" s="33"/>
      <c r="AP18" s="34"/>
      <c r="AQ18" s="34"/>
      <c r="AT18" s="97" t="str">
        <f t="array" ref="AT18">"A4:B"&amp;(COUNTA(Tabla1[Tienda])+4)</f>
        <v>A4:B26</v>
      </c>
      <c r="AU18" s="97" t="str">
        <f>"C1:AQ"&amp;(COUNTA(Tabla1[Tienda])+4)</f>
        <v>C1:AQ26</v>
      </c>
      <c r="AV18" s="97" t="str">
        <f>"C1:AQ"&amp;(COUNTA(Tabla1[Tienda])+4+SUM(AW15:AW73))</f>
        <v>C1:AQ29</v>
      </c>
      <c r="AW18" s="97">
        <f>ROUNDDOWN((D17-1)/13,0)</f>
        <v>1</v>
      </c>
    </row>
    <row r="19" spans="1:49" s="97" customFormat="1" ht="39.6" customHeight="1" x14ac:dyDescent="0.25">
      <c r="A19" s="40"/>
      <c r="B19" s="40"/>
      <c r="C19" s="79" t="str">
        <f>A20</f>
        <v>45 SANTA MARTA</v>
      </c>
      <c r="D19" s="77">
        <f>B20</f>
        <v>14</v>
      </c>
      <c r="E19" s="33"/>
      <c r="F19" s="34"/>
      <c r="G19" s="34"/>
      <c r="H19" s="33"/>
      <c r="I19" s="34"/>
      <c r="J19" s="34"/>
      <c r="K19" s="33"/>
      <c r="L19" s="34"/>
      <c r="M19" s="34"/>
      <c r="N19" s="33"/>
      <c r="O19" s="34"/>
      <c r="P19" s="34"/>
      <c r="Q19" s="33"/>
      <c r="R19" s="34"/>
      <c r="S19" s="34"/>
      <c r="T19" s="33"/>
      <c r="U19" s="34"/>
      <c r="V19" s="34"/>
      <c r="W19" s="33"/>
      <c r="X19" s="34"/>
      <c r="Y19" s="34"/>
      <c r="Z19" s="33"/>
      <c r="AA19" s="34"/>
      <c r="AB19" s="34"/>
      <c r="AC19" s="33"/>
      <c r="AD19" s="34"/>
      <c r="AE19" s="34"/>
      <c r="AF19" s="33"/>
      <c r="AG19" s="34"/>
      <c r="AH19" s="34"/>
      <c r="AI19" s="33"/>
      <c r="AJ19" s="34"/>
      <c r="AK19" s="34"/>
      <c r="AL19" s="33"/>
      <c r="AM19" s="34"/>
      <c r="AN19" s="34"/>
      <c r="AO19" s="33"/>
      <c r="AP19" s="34"/>
      <c r="AQ19" s="34"/>
      <c r="AT19" s="97" t="str">
        <f t="array" ref="AT19">"A4:B"&amp;(COUNTA(Tabla1[Tienda])+4)</f>
        <v>A4:B26</v>
      </c>
      <c r="AU19" s="97" t="str">
        <f>"C1:AQ"&amp;(COUNTA(Tabla1[Tienda])+4)</f>
        <v>C1:AQ26</v>
      </c>
      <c r="AV19" s="97" t="str">
        <f>"C1:AQ"&amp;(COUNTA(Tabla1[Tienda])+4+SUM(AW18:AW85))</f>
        <v>C1:AQ29</v>
      </c>
    </row>
    <row r="20" spans="1:49" s="97" customFormat="1" ht="39.6" customHeight="1" x14ac:dyDescent="0.25">
      <c r="A20" s="40" t="str">
        <f>'PEGAR ACA'!H15</f>
        <v>45 SANTA MARTA</v>
      </c>
      <c r="B20" s="40">
        <f>'PEGAR ACA'!J15</f>
        <v>14</v>
      </c>
      <c r="C20" s="80"/>
      <c r="D20" s="78"/>
      <c r="E20" s="33"/>
      <c r="F20" s="34"/>
      <c r="G20" s="34"/>
      <c r="H20" s="33"/>
      <c r="I20" s="34"/>
      <c r="J20" s="34"/>
      <c r="K20" s="33"/>
      <c r="L20" s="34"/>
      <c r="M20" s="34"/>
      <c r="N20" s="33"/>
      <c r="O20" s="34"/>
      <c r="P20" s="34"/>
      <c r="Q20" s="33"/>
      <c r="R20" s="34"/>
      <c r="S20" s="34"/>
      <c r="T20" s="33"/>
      <c r="U20" s="34"/>
      <c r="V20" s="34"/>
      <c r="W20" s="33"/>
      <c r="X20" s="34"/>
      <c r="Y20" s="34"/>
      <c r="Z20" s="33"/>
      <c r="AA20" s="34"/>
      <c r="AB20" s="34"/>
      <c r="AC20" s="33"/>
      <c r="AD20" s="34"/>
      <c r="AE20" s="34"/>
      <c r="AF20" s="33"/>
      <c r="AG20" s="34"/>
      <c r="AH20" s="34"/>
      <c r="AI20" s="33"/>
      <c r="AJ20" s="34"/>
      <c r="AK20" s="34"/>
      <c r="AL20" s="33"/>
      <c r="AM20" s="34"/>
      <c r="AN20" s="34"/>
      <c r="AO20" s="33"/>
      <c r="AP20" s="34"/>
      <c r="AQ20" s="34"/>
      <c r="AT20" s="97" t="str">
        <f t="array" ref="AT20">"A4:B"&amp;(COUNTA(Tabla1[Tienda])+4)</f>
        <v>A4:B26</v>
      </c>
      <c r="AU20" s="97" t="str">
        <f>"C1:AQ"&amp;(COUNTA(Tabla1[Tienda])+4)</f>
        <v>C1:AQ26</v>
      </c>
      <c r="AV20" s="97" t="str">
        <f>"C1:AQ"&amp;(COUNTA(Tabla1[Tienda])+4+SUM(AW15:AW73))</f>
        <v>C1:AQ29</v>
      </c>
      <c r="AW20" s="97">
        <f>ROUNDDOWN((D19-1)/13,0)</f>
        <v>1</v>
      </c>
    </row>
    <row r="21" spans="1:49" s="97" customFormat="1" ht="39.6" customHeight="1" x14ac:dyDescent="0.25">
      <c r="A21" s="40" t="str">
        <f>'PEGAR ACA'!H16</f>
        <v>49 BARRANQUILLA LA 30</v>
      </c>
      <c r="B21" s="40">
        <f>'PEGAR ACA'!J16</f>
        <v>5</v>
      </c>
      <c r="C21" s="32" t="str">
        <f t="shared" si="0"/>
        <v>49 BARRANQUILLA LA 30</v>
      </c>
      <c r="D21" s="67">
        <f t="shared" si="1"/>
        <v>5</v>
      </c>
      <c r="E21" s="33"/>
      <c r="F21" s="34"/>
      <c r="G21" s="34"/>
      <c r="H21" s="33"/>
      <c r="I21" s="34"/>
      <c r="J21" s="34"/>
      <c r="K21" s="33"/>
      <c r="L21" s="34"/>
      <c r="M21" s="34"/>
      <c r="N21" s="33"/>
      <c r="O21" s="34"/>
      <c r="P21" s="34"/>
      <c r="Q21" s="33"/>
      <c r="R21" s="34"/>
      <c r="S21" s="34"/>
      <c r="T21" s="33"/>
      <c r="U21" s="34"/>
      <c r="V21" s="34"/>
      <c r="W21" s="33"/>
      <c r="X21" s="34"/>
      <c r="Y21" s="34"/>
      <c r="Z21" s="33"/>
      <c r="AA21" s="34"/>
      <c r="AB21" s="34"/>
      <c r="AC21" s="33"/>
      <c r="AD21" s="34"/>
      <c r="AE21" s="34"/>
      <c r="AF21" s="33"/>
      <c r="AG21" s="34"/>
      <c r="AH21" s="34"/>
      <c r="AI21" s="33"/>
      <c r="AJ21" s="34"/>
      <c r="AK21" s="34"/>
      <c r="AL21" s="33"/>
      <c r="AM21" s="34"/>
      <c r="AN21" s="34"/>
      <c r="AO21" s="33"/>
      <c r="AP21" s="34"/>
      <c r="AQ21" s="34"/>
      <c r="AT21" s="97" t="str">
        <f t="array" ref="AT21">"A4:B"&amp;(COUNTA(Tabla1[Tienda])+4)</f>
        <v>A4:B26</v>
      </c>
      <c r="AU21" s="97" t="str">
        <f>"C1:AQ"&amp;(COUNTA(Tabla1[Tienda])+4)</f>
        <v>C1:AQ26</v>
      </c>
      <c r="AV21" s="97" t="str">
        <f>"C1:AQ"&amp;(COUNTA(Tabla1[Tienda])+4+SUM(AW15:AW73))</f>
        <v>C1:AQ29</v>
      </c>
      <c r="AW21" s="97">
        <f t="shared" si="2"/>
        <v>0</v>
      </c>
    </row>
    <row r="22" spans="1:49" s="97" customFormat="1" ht="39.6" customHeight="1" x14ac:dyDescent="0.25">
      <c r="A22" s="40" t="str">
        <f>'PEGAR ACA'!H17</f>
        <v>83 CARTAGENA</v>
      </c>
      <c r="B22" s="40">
        <f>'PEGAR ACA'!J17</f>
        <v>11</v>
      </c>
      <c r="C22" s="32" t="str">
        <f t="shared" si="0"/>
        <v>83 CARTAGENA</v>
      </c>
      <c r="D22" s="67">
        <f t="shared" si="1"/>
        <v>11</v>
      </c>
      <c r="E22" s="33"/>
      <c r="F22" s="34"/>
      <c r="G22" s="34"/>
      <c r="H22" s="33"/>
      <c r="I22" s="34"/>
      <c r="J22" s="34"/>
      <c r="K22" s="33"/>
      <c r="L22" s="34"/>
      <c r="M22" s="34"/>
      <c r="N22" s="33"/>
      <c r="O22" s="34"/>
      <c r="P22" s="34"/>
      <c r="Q22" s="33"/>
      <c r="R22" s="34"/>
      <c r="S22" s="34"/>
      <c r="T22" s="33"/>
      <c r="U22" s="34"/>
      <c r="V22" s="34"/>
      <c r="W22" s="33"/>
      <c r="X22" s="34"/>
      <c r="Y22" s="34"/>
      <c r="Z22" s="33"/>
      <c r="AA22" s="34"/>
      <c r="AB22" s="34"/>
      <c r="AC22" s="33"/>
      <c r="AD22" s="34"/>
      <c r="AE22" s="34"/>
      <c r="AF22" s="33"/>
      <c r="AG22" s="34"/>
      <c r="AH22" s="34"/>
      <c r="AI22" s="33"/>
      <c r="AJ22" s="34"/>
      <c r="AK22" s="34"/>
      <c r="AL22" s="33"/>
      <c r="AM22" s="34"/>
      <c r="AN22" s="34"/>
      <c r="AO22" s="33"/>
      <c r="AP22" s="34"/>
      <c r="AQ22" s="34"/>
      <c r="AT22" s="97" t="str">
        <f t="array" ref="AT22">"A4:B"&amp;(COUNTA(Tabla1[Tienda])+4)</f>
        <v>A4:B26</v>
      </c>
      <c r="AU22" s="97" t="str">
        <f>"C1:AQ"&amp;(COUNTA(Tabla1[Tienda])+4)</f>
        <v>C1:AQ26</v>
      </c>
      <c r="AV22" s="97" t="str">
        <f>"C1:AQ"&amp;(COUNTA(Tabla1[Tienda])+4+SUM(AW15:AW73))</f>
        <v>C1:AQ29</v>
      </c>
      <c r="AW22" s="97">
        <f t="shared" si="2"/>
        <v>0</v>
      </c>
    </row>
    <row r="23" spans="1:49" s="97" customFormat="1" ht="39.6" customHeight="1" x14ac:dyDescent="0.25">
      <c r="A23" s="40" t="str">
        <f>'PEGAR ACA'!H18</f>
        <v>86 AMERICANO</v>
      </c>
      <c r="B23" s="40">
        <f>'PEGAR ACA'!J18</f>
        <v>8</v>
      </c>
      <c r="C23" s="32" t="str">
        <f t="shared" si="0"/>
        <v>86 AMERICANO</v>
      </c>
      <c r="D23" s="67">
        <f t="shared" si="1"/>
        <v>8</v>
      </c>
      <c r="E23" s="33"/>
      <c r="F23" s="34"/>
      <c r="G23" s="34"/>
      <c r="H23" s="33"/>
      <c r="I23" s="34"/>
      <c r="J23" s="34"/>
      <c r="K23" s="33"/>
      <c r="L23" s="34"/>
      <c r="M23" s="34"/>
      <c r="N23" s="33"/>
      <c r="O23" s="34"/>
      <c r="P23" s="34"/>
      <c r="Q23" s="33"/>
      <c r="R23" s="34"/>
      <c r="S23" s="34"/>
      <c r="T23" s="33"/>
      <c r="U23" s="34"/>
      <c r="V23" s="34"/>
      <c r="W23" s="33"/>
      <c r="X23" s="34"/>
      <c r="Y23" s="34"/>
      <c r="Z23" s="33"/>
      <c r="AA23" s="34"/>
      <c r="AB23" s="34"/>
      <c r="AC23" s="33"/>
      <c r="AD23" s="34"/>
      <c r="AE23" s="34"/>
      <c r="AF23" s="33"/>
      <c r="AG23" s="34"/>
      <c r="AH23" s="34"/>
      <c r="AI23" s="33"/>
      <c r="AJ23" s="34"/>
      <c r="AK23" s="34"/>
      <c r="AL23" s="33"/>
      <c r="AM23" s="34"/>
      <c r="AN23" s="34"/>
      <c r="AO23" s="33"/>
      <c r="AP23" s="34"/>
      <c r="AQ23" s="34"/>
      <c r="AT23" s="97" t="str">
        <f t="array" ref="AT23">"A4:B"&amp;(COUNTA(Tabla1[Tienda])+4)</f>
        <v>A4:B26</v>
      </c>
      <c r="AU23" s="97" t="str">
        <f>"C1:AQ"&amp;(COUNTA(Tabla1[Tienda])+4)</f>
        <v>C1:AQ26</v>
      </c>
      <c r="AV23" s="97" t="str">
        <f>"C1:AQ"&amp;(COUNTA(Tabla1[Tienda])+4+SUM(AW22:AW85))</f>
        <v>C1:AQ27</v>
      </c>
      <c r="AW23" s="97">
        <f t="shared" si="2"/>
        <v>0</v>
      </c>
    </row>
    <row r="24" spans="1:49" s="97" customFormat="1" ht="39.6" customHeight="1" x14ac:dyDescent="0.25">
      <c r="A24" s="40" t="str">
        <f>'PEGAR ACA'!H19</f>
        <v>87 VALLEDUPAR</v>
      </c>
      <c r="B24" s="40">
        <f>'PEGAR ACA'!J19</f>
        <v>11</v>
      </c>
      <c r="C24" s="32" t="str">
        <f t="shared" si="0"/>
        <v>87 VALLEDUPAR</v>
      </c>
      <c r="D24" s="67">
        <f t="shared" si="1"/>
        <v>11</v>
      </c>
      <c r="E24" s="33"/>
      <c r="F24" s="34"/>
      <c r="G24" s="34"/>
      <c r="H24" s="33"/>
      <c r="I24" s="34"/>
      <c r="J24" s="34"/>
      <c r="K24" s="33"/>
      <c r="L24" s="34"/>
      <c r="M24" s="34"/>
      <c r="N24" s="33"/>
      <c r="O24" s="34"/>
      <c r="P24" s="34"/>
      <c r="Q24" s="33"/>
      <c r="R24" s="34"/>
      <c r="S24" s="34"/>
      <c r="T24" s="33"/>
      <c r="U24" s="34"/>
      <c r="V24" s="34"/>
      <c r="W24" s="33"/>
      <c r="X24" s="34"/>
      <c r="Y24" s="34"/>
      <c r="Z24" s="33"/>
      <c r="AA24" s="34"/>
      <c r="AB24" s="34"/>
      <c r="AC24" s="33"/>
      <c r="AD24" s="34"/>
      <c r="AE24" s="34"/>
      <c r="AF24" s="33"/>
      <c r="AG24" s="34"/>
      <c r="AH24" s="34"/>
      <c r="AI24" s="33"/>
      <c r="AJ24" s="34"/>
      <c r="AK24" s="34"/>
      <c r="AL24" s="33"/>
      <c r="AM24" s="34"/>
      <c r="AN24" s="34"/>
      <c r="AO24" s="33"/>
      <c r="AP24" s="34"/>
      <c r="AQ24" s="34"/>
      <c r="AT24" s="97" t="str">
        <f t="array" ref="AT24">"A4:B"&amp;(COUNTA(Tabla1[Tienda])+4)</f>
        <v>A4:B26</v>
      </c>
      <c r="AU24" s="97" t="str">
        <f>"C1:AQ"&amp;(COUNTA(Tabla1[Tienda])+4)</f>
        <v>C1:AQ26</v>
      </c>
      <c r="AV24" s="97" t="str">
        <f>"C1:AQ"&amp;(COUNTA(Tabla1[Tienda])+4+SUM(AW22:AW73))</f>
        <v>C1:AQ27</v>
      </c>
      <c r="AW24" s="97">
        <f t="shared" si="2"/>
        <v>0</v>
      </c>
    </row>
    <row r="25" spans="1:49" s="97" customFormat="1" ht="39.6" customHeight="1" x14ac:dyDescent="0.25">
      <c r="A25" s="40"/>
      <c r="B25" s="40"/>
      <c r="C25" s="79" t="str">
        <f>A26</f>
        <v>88 BUENAVISTA</v>
      </c>
      <c r="D25" s="77">
        <f>B26</f>
        <v>15</v>
      </c>
      <c r="E25" s="33"/>
      <c r="F25" s="34"/>
      <c r="G25" s="34"/>
      <c r="H25" s="33"/>
      <c r="I25" s="34"/>
      <c r="J25" s="34"/>
      <c r="K25" s="33"/>
      <c r="L25" s="34"/>
      <c r="M25" s="34"/>
      <c r="N25" s="33"/>
      <c r="O25" s="34"/>
      <c r="P25" s="34"/>
      <c r="Q25" s="33"/>
      <c r="R25" s="34"/>
      <c r="S25" s="34"/>
      <c r="T25" s="33"/>
      <c r="U25" s="34"/>
      <c r="V25" s="34"/>
      <c r="W25" s="33"/>
      <c r="X25" s="34"/>
      <c r="Y25" s="34"/>
      <c r="Z25" s="33"/>
      <c r="AA25" s="34"/>
      <c r="AB25" s="34"/>
      <c r="AC25" s="33"/>
      <c r="AD25" s="34"/>
      <c r="AE25" s="34"/>
      <c r="AF25" s="33"/>
      <c r="AG25" s="34"/>
      <c r="AH25" s="34"/>
      <c r="AI25" s="33"/>
      <c r="AJ25" s="34"/>
      <c r="AK25" s="34"/>
      <c r="AL25" s="33"/>
      <c r="AM25" s="34"/>
      <c r="AN25" s="34"/>
      <c r="AO25" s="33"/>
      <c r="AP25" s="34"/>
      <c r="AQ25" s="34"/>
      <c r="AT25" s="97" t="str">
        <f t="array" ref="AT25">"A4:B"&amp;(COUNTA(Tabla1[Tienda])+4)</f>
        <v>A4:B26</v>
      </c>
      <c r="AU25" s="97" t="str">
        <f>"C1:AQ"&amp;(COUNTA(Tabla1[Tienda])+4)</f>
        <v>C1:AQ26</v>
      </c>
      <c r="AV25" s="97" t="str">
        <f>"C1:AQ"&amp;(COUNTA(Tabla1[Tienda])+4+SUM(AW24:AW90))</f>
        <v>C1:AQ27</v>
      </c>
    </row>
    <row r="26" spans="1:49" s="97" customFormat="1" ht="39.6" customHeight="1" x14ac:dyDescent="0.25">
      <c r="A26" s="40" t="str">
        <f>'PEGAR ACA'!H20</f>
        <v>88 BUENAVISTA</v>
      </c>
      <c r="B26" s="40">
        <f>'PEGAR ACA'!J20</f>
        <v>15</v>
      </c>
      <c r="C26" s="80"/>
      <c r="D26" s="78"/>
      <c r="E26" s="33"/>
      <c r="F26" s="34"/>
      <c r="G26" s="34"/>
      <c r="H26" s="33"/>
      <c r="I26" s="34"/>
      <c r="J26" s="34"/>
      <c r="K26" s="33"/>
      <c r="L26" s="34"/>
      <c r="M26" s="34"/>
      <c r="N26" s="33"/>
      <c r="O26" s="34"/>
      <c r="P26" s="34"/>
      <c r="Q26" s="33"/>
      <c r="R26" s="34"/>
      <c r="S26" s="34"/>
      <c r="T26" s="33"/>
      <c r="U26" s="34"/>
      <c r="V26" s="34"/>
      <c r="W26" s="33"/>
      <c r="X26" s="34"/>
      <c r="Y26" s="34"/>
      <c r="Z26" s="33"/>
      <c r="AA26" s="34"/>
      <c r="AB26" s="34"/>
      <c r="AC26" s="33"/>
      <c r="AD26" s="34"/>
      <c r="AE26" s="34"/>
      <c r="AF26" s="33"/>
      <c r="AG26" s="34"/>
      <c r="AH26" s="34"/>
      <c r="AI26" s="33"/>
      <c r="AJ26" s="34"/>
      <c r="AK26" s="34"/>
      <c r="AL26" s="33"/>
      <c r="AM26" s="34"/>
      <c r="AN26" s="34"/>
      <c r="AO26" s="33"/>
      <c r="AP26" s="34"/>
      <c r="AQ26" s="34"/>
      <c r="AT26" s="97" t="str">
        <f t="array" ref="AT26">"A4:B"&amp;(COUNTA(Tabla1[Tienda])+4)</f>
        <v>A4:B26</v>
      </c>
      <c r="AU26" s="97" t="str">
        <f>"C1:AQ"&amp;(COUNTA(Tabla1[Tienda])+4)</f>
        <v>C1:AQ26</v>
      </c>
      <c r="AV26" s="97" t="str">
        <f>"C1:AQ"&amp;(COUNTA(Tabla1[Tienda])+4+SUM(AW15:AW73))</f>
        <v>C1:AQ29</v>
      </c>
      <c r="AW26" s="97">
        <f>ROUNDDOWN((D25-1)/13,0)</f>
        <v>1</v>
      </c>
    </row>
    <row r="27" spans="1:49" s="97" customFormat="1" ht="39.6" customHeight="1" x14ac:dyDescent="0.25">
      <c r="A27" s="40" t="str">
        <f>'PEGAR ACA'!H21</f>
        <v>174 EL CASTILLO</v>
      </c>
      <c r="B27" s="40">
        <f>'PEGAR ACA'!J21</f>
        <v>10</v>
      </c>
      <c r="C27" s="32" t="str">
        <f t="shared" si="0"/>
        <v>174 EL CASTILLO</v>
      </c>
      <c r="D27" s="67">
        <f t="shared" si="1"/>
        <v>10</v>
      </c>
      <c r="E27" s="33"/>
      <c r="F27" s="34"/>
      <c r="G27" s="34"/>
      <c r="H27" s="33"/>
      <c r="I27" s="34"/>
      <c r="J27" s="34"/>
      <c r="K27" s="33"/>
      <c r="L27" s="34"/>
      <c r="M27" s="34"/>
      <c r="N27" s="33"/>
      <c r="O27" s="34"/>
      <c r="P27" s="34"/>
      <c r="Q27" s="33"/>
      <c r="R27" s="34"/>
      <c r="S27" s="34"/>
      <c r="T27" s="33"/>
      <c r="U27" s="34"/>
      <c r="V27" s="34"/>
      <c r="W27" s="33"/>
      <c r="X27" s="34"/>
      <c r="Y27" s="34"/>
      <c r="Z27" s="33"/>
      <c r="AA27" s="34"/>
      <c r="AB27" s="34"/>
      <c r="AC27" s="33"/>
      <c r="AD27" s="34"/>
      <c r="AE27" s="34"/>
      <c r="AF27" s="33"/>
      <c r="AG27" s="34"/>
      <c r="AH27" s="34"/>
      <c r="AI27" s="33"/>
      <c r="AJ27" s="34"/>
      <c r="AK27" s="34"/>
      <c r="AL27" s="33"/>
      <c r="AM27" s="34"/>
      <c r="AN27" s="34"/>
      <c r="AO27" s="33"/>
      <c r="AP27" s="34"/>
      <c r="AQ27" s="34"/>
      <c r="AT27" s="97" t="str">
        <f t="array" ref="AT27">"A4:B"&amp;(COUNTA(Tabla1[Tienda])+4)</f>
        <v>A4:B26</v>
      </c>
      <c r="AU27" s="97" t="str">
        <f>"C1:AQ"&amp;(COUNTA(Tabla1[Tienda])+4)</f>
        <v>C1:AQ26</v>
      </c>
      <c r="AV27" s="97" t="str">
        <f>"C1:AQ"&amp;(COUNTA(Tabla1[Tienda])+4+SUM(AW15:AW73))</f>
        <v>C1:AQ29</v>
      </c>
      <c r="AW27" s="97">
        <f t="shared" si="2"/>
        <v>0</v>
      </c>
    </row>
    <row r="28" spans="1:49" s="97" customFormat="1" ht="39.6" customHeight="1" x14ac:dyDescent="0.25">
      <c r="A28" s="40" t="str">
        <f>'PEGAR ACA'!H22</f>
        <v>177 SAN FRANCISCO</v>
      </c>
      <c r="B28" s="40">
        <f>'PEGAR ACA'!J22</f>
        <v>7</v>
      </c>
      <c r="C28" s="75" t="str">
        <f t="shared" si="0"/>
        <v>177 SAN FRANCISCO</v>
      </c>
      <c r="D28" s="73">
        <f t="shared" si="1"/>
        <v>7</v>
      </c>
      <c r="E28" s="61"/>
      <c r="F28" s="60"/>
      <c r="G28" s="60"/>
      <c r="H28" s="61"/>
      <c r="I28" s="60"/>
      <c r="J28" s="60"/>
      <c r="K28" s="61"/>
      <c r="L28" s="60"/>
      <c r="M28" s="60"/>
      <c r="N28" s="61"/>
      <c r="O28" s="60"/>
      <c r="P28" s="60"/>
      <c r="Q28" s="61"/>
      <c r="R28" s="60"/>
      <c r="S28" s="60"/>
      <c r="T28" s="61"/>
      <c r="U28" s="60"/>
      <c r="V28" s="60"/>
      <c r="W28" s="61"/>
      <c r="X28" s="60"/>
      <c r="Y28" s="60"/>
      <c r="Z28" s="61"/>
      <c r="AA28" s="60"/>
      <c r="AB28" s="60"/>
      <c r="AC28" s="61"/>
      <c r="AD28" s="60"/>
      <c r="AE28" s="60"/>
      <c r="AF28" s="61"/>
      <c r="AG28" s="60"/>
      <c r="AH28" s="60"/>
      <c r="AI28" s="61"/>
      <c r="AJ28" s="60"/>
      <c r="AK28" s="60"/>
      <c r="AL28" s="61"/>
      <c r="AM28" s="60"/>
      <c r="AN28" s="60"/>
      <c r="AO28" s="61"/>
      <c r="AP28" s="60"/>
      <c r="AQ28" s="60"/>
      <c r="AT28" s="97" t="str">
        <f t="array" ref="AT28">"A4:B"&amp;(COUNTA(Tabla1[Tienda])+4)</f>
        <v>A4:B26</v>
      </c>
      <c r="AU28" s="97" t="str">
        <f>"C1:AQ"&amp;(COUNTA(Tabla1[Tienda])+4)</f>
        <v>C1:AQ26</v>
      </c>
      <c r="AV28" s="97" t="str">
        <f>"C1:AQ"&amp;(COUNTA(Tabla1[Tienda])+4+SUM(AW15:AW73))</f>
        <v>C1:AQ29</v>
      </c>
      <c r="AW28" s="97">
        <f t="shared" si="2"/>
        <v>0</v>
      </c>
    </row>
    <row r="29" spans="1:49" s="97" customFormat="1" ht="39.6" customHeight="1" thickBot="1" x14ac:dyDescent="0.3">
      <c r="A29" s="40" t="str">
        <f>'PEGAR ACA'!H23</f>
        <v>184 METRO MAYALES</v>
      </c>
      <c r="B29" s="40">
        <f>'PEGAR ACA'!J23</f>
        <v>6</v>
      </c>
      <c r="C29" s="62" t="str">
        <f t="shared" si="0"/>
        <v>184 METRO MAYALES</v>
      </c>
      <c r="D29" s="63">
        <f t="shared" si="1"/>
        <v>6</v>
      </c>
      <c r="E29" s="64"/>
      <c r="F29" s="65"/>
      <c r="G29" s="65"/>
      <c r="H29" s="64"/>
      <c r="I29" s="65"/>
      <c r="J29" s="65"/>
      <c r="K29" s="64"/>
      <c r="L29" s="65"/>
      <c r="M29" s="65"/>
      <c r="N29" s="64"/>
      <c r="O29" s="65"/>
      <c r="P29" s="65"/>
      <c r="Q29" s="64"/>
      <c r="R29" s="65"/>
      <c r="S29" s="65"/>
      <c r="T29" s="64"/>
      <c r="U29" s="65"/>
      <c r="V29" s="65"/>
      <c r="W29" s="64"/>
      <c r="X29" s="65"/>
      <c r="Y29" s="65"/>
      <c r="Z29" s="64"/>
      <c r="AA29" s="65"/>
      <c r="AB29" s="65"/>
      <c r="AC29" s="64"/>
      <c r="AD29" s="65"/>
      <c r="AE29" s="65"/>
      <c r="AF29" s="64"/>
      <c r="AG29" s="65"/>
      <c r="AH29" s="65"/>
      <c r="AI29" s="64"/>
      <c r="AJ29" s="65"/>
      <c r="AK29" s="65"/>
      <c r="AL29" s="64"/>
      <c r="AM29" s="65"/>
      <c r="AN29" s="65"/>
      <c r="AO29" s="64"/>
      <c r="AP29" s="65"/>
      <c r="AQ29" s="65"/>
      <c r="AT29" s="97" t="str">
        <f t="array" ref="AT29">"A4:B"&amp;(COUNTA(Tabla1[Tienda])+4)</f>
        <v>A4:B26</v>
      </c>
      <c r="AU29" s="97" t="str">
        <f>"C1:AQ"&amp;(COUNTA(Tabla1[Tienda])+4)</f>
        <v>C1:AQ26</v>
      </c>
      <c r="AV29" s="97" t="str">
        <f>"C1:AQ"&amp;(COUNTA(Tabla1[Tienda])+4+SUM(AW28:AW73))</f>
        <v>C1:AQ26</v>
      </c>
      <c r="AW29" s="97">
        <f t="shared" si="2"/>
        <v>0</v>
      </c>
    </row>
    <row r="30" spans="1:49" s="97" customFormat="1" ht="45" customHeight="1" x14ac:dyDescent="0.25">
      <c r="A30" s="40">
        <f>'PEGAR ACA'!H24</f>
        <v>0</v>
      </c>
      <c r="B30" s="40">
        <f>'PEGAR ACA'!J24</f>
        <v>0</v>
      </c>
      <c r="C30" s="76">
        <f t="shared" si="0"/>
        <v>0</v>
      </c>
      <c r="D30" s="74">
        <f t="shared" si="1"/>
        <v>0</v>
      </c>
      <c r="E30" s="59"/>
      <c r="F30" s="58"/>
      <c r="G30" s="58"/>
      <c r="H30" s="59"/>
      <c r="I30" s="58"/>
      <c r="J30" s="58"/>
      <c r="K30" s="59"/>
      <c r="L30" s="58"/>
      <c r="M30" s="58"/>
      <c r="N30" s="59"/>
      <c r="O30" s="58"/>
      <c r="P30" s="58"/>
      <c r="Q30" s="59"/>
      <c r="R30" s="58"/>
      <c r="S30" s="58"/>
      <c r="T30" s="59"/>
      <c r="U30" s="58"/>
      <c r="V30" s="58"/>
      <c r="W30" s="59"/>
      <c r="X30" s="58"/>
      <c r="Y30" s="58"/>
      <c r="Z30" s="59"/>
      <c r="AA30" s="58"/>
      <c r="AB30" s="58"/>
      <c r="AC30" s="59"/>
      <c r="AD30" s="58"/>
      <c r="AE30" s="58"/>
      <c r="AF30" s="59"/>
      <c r="AG30" s="58"/>
      <c r="AH30" s="58"/>
      <c r="AI30" s="59"/>
      <c r="AJ30" s="58"/>
      <c r="AK30" s="58"/>
      <c r="AL30" s="59"/>
      <c r="AM30" s="58"/>
      <c r="AN30" s="58"/>
      <c r="AO30" s="59"/>
      <c r="AP30" s="58"/>
      <c r="AQ30" s="58"/>
      <c r="AT30" s="97" t="str">
        <f t="array" ref="AT30">"A4:B"&amp;(COUNTA(Tabla1[Tienda])+4)</f>
        <v>A4:B26</v>
      </c>
      <c r="AU30" s="97" t="str">
        <f>"C1:AQ"&amp;(COUNTA(Tabla1[Tienda])+4)</f>
        <v>C1:AQ26</v>
      </c>
      <c r="AV30" s="97" t="str">
        <f>"C1:AQ"&amp;(COUNTA(Tabla1[Tienda])+4+SUM(AW28:AW73))</f>
        <v>C1:AQ26</v>
      </c>
      <c r="AW30" s="97">
        <f t="shared" si="2"/>
        <v>0</v>
      </c>
    </row>
    <row r="31" spans="1:49" s="97" customFormat="1" ht="45" customHeight="1" x14ac:dyDescent="0.25">
      <c r="A31" s="40">
        <f>'PEGAR ACA'!H25</f>
        <v>0</v>
      </c>
      <c r="B31" s="40">
        <f>'PEGAR ACA'!J25</f>
        <v>0</v>
      </c>
      <c r="C31" s="32">
        <f t="shared" si="0"/>
        <v>0</v>
      </c>
      <c r="D31" s="67">
        <f t="shared" si="1"/>
        <v>0</v>
      </c>
      <c r="E31" s="33"/>
      <c r="F31" s="34"/>
      <c r="G31" s="34"/>
      <c r="H31" s="33"/>
      <c r="I31" s="34"/>
      <c r="J31" s="34"/>
      <c r="K31" s="33"/>
      <c r="L31" s="34"/>
      <c r="M31" s="34"/>
      <c r="N31" s="33"/>
      <c r="O31" s="34"/>
      <c r="P31" s="34"/>
      <c r="Q31" s="33"/>
      <c r="R31" s="34"/>
      <c r="S31" s="34"/>
      <c r="T31" s="33"/>
      <c r="U31" s="34"/>
      <c r="V31" s="34"/>
      <c r="W31" s="33"/>
      <c r="X31" s="34"/>
      <c r="Y31" s="34"/>
      <c r="Z31" s="33"/>
      <c r="AA31" s="34"/>
      <c r="AB31" s="34"/>
      <c r="AC31" s="33"/>
      <c r="AD31" s="34"/>
      <c r="AE31" s="34"/>
      <c r="AF31" s="33"/>
      <c r="AG31" s="34"/>
      <c r="AH31" s="34"/>
      <c r="AI31" s="33"/>
      <c r="AJ31" s="34"/>
      <c r="AK31" s="34"/>
      <c r="AL31" s="33"/>
      <c r="AM31" s="34"/>
      <c r="AN31" s="34"/>
      <c r="AO31" s="33"/>
      <c r="AP31" s="34"/>
      <c r="AQ31" s="34"/>
      <c r="AT31" s="97" t="str">
        <f t="array" ref="AT31">"A4:B"&amp;(COUNTA(Tabla1[Tienda])+4)</f>
        <v>A4:B26</v>
      </c>
      <c r="AU31" s="97" t="str">
        <f>"C1:AQ"&amp;(COUNTA(Tabla1[Tienda])+4)</f>
        <v>C1:AQ26</v>
      </c>
      <c r="AV31" s="97" t="str">
        <f>"C1:AQ"&amp;(COUNTA(Tabla1[Tienda])+4+SUM(AW30:AW73))</f>
        <v>C1:AQ26</v>
      </c>
      <c r="AW31" s="97">
        <f t="shared" si="2"/>
        <v>0</v>
      </c>
    </row>
    <row r="32" spans="1:49" s="97" customFormat="1" ht="45" customHeight="1" x14ac:dyDescent="0.25">
      <c r="A32" s="40">
        <f>'PEGAR ACA'!H26</f>
        <v>0</v>
      </c>
      <c r="B32" s="40">
        <f>'PEGAR ACA'!J26</f>
        <v>0</v>
      </c>
      <c r="C32" s="32">
        <f t="shared" si="0"/>
        <v>0</v>
      </c>
      <c r="D32" s="67">
        <f t="shared" si="1"/>
        <v>0</v>
      </c>
      <c r="E32" s="33"/>
      <c r="F32" s="34"/>
      <c r="G32" s="34"/>
      <c r="H32" s="33"/>
      <c r="I32" s="34"/>
      <c r="J32" s="34"/>
      <c r="K32" s="33"/>
      <c r="L32" s="34"/>
      <c r="M32" s="34"/>
      <c r="N32" s="33"/>
      <c r="O32" s="34"/>
      <c r="P32" s="34"/>
      <c r="Q32" s="33"/>
      <c r="R32" s="34"/>
      <c r="S32" s="34"/>
      <c r="T32" s="33"/>
      <c r="U32" s="34"/>
      <c r="V32" s="34"/>
      <c r="W32" s="33"/>
      <c r="X32" s="34"/>
      <c r="Y32" s="34"/>
      <c r="Z32" s="33"/>
      <c r="AA32" s="34"/>
      <c r="AB32" s="34"/>
      <c r="AC32" s="33"/>
      <c r="AD32" s="34"/>
      <c r="AE32" s="34"/>
      <c r="AF32" s="33"/>
      <c r="AG32" s="34"/>
      <c r="AH32" s="34"/>
      <c r="AI32" s="33"/>
      <c r="AJ32" s="34"/>
      <c r="AK32" s="34"/>
      <c r="AL32" s="33"/>
      <c r="AM32" s="34"/>
      <c r="AN32" s="34"/>
      <c r="AO32" s="33"/>
      <c r="AP32" s="34"/>
      <c r="AQ32" s="34"/>
      <c r="AT32" s="97" t="str">
        <f t="array" ref="AT32">"A4:B"&amp;(COUNTA(Tabla1[Tienda])+4)</f>
        <v>A4:B26</v>
      </c>
      <c r="AU32" s="97" t="str">
        <f>"C1:AQ"&amp;(COUNTA(Tabla1[Tienda])+4)</f>
        <v>C1:AQ26</v>
      </c>
      <c r="AV32" s="97" t="str">
        <f>"C1:AQ"&amp;(COUNTA(Tabla1[Tienda])+4+SUM(AW31:AW95))</f>
        <v>C1:AQ26</v>
      </c>
      <c r="AW32" s="97">
        <f t="shared" si="2"/>
        <v>0</v>
      </c>
    </row>
    <row r="33" spans="1:49" s="97" customFormat="1" ht="45" customHeight="1" x14ac:dyDescent="0.25">
      <c r="A33" s="40">
        <f>'PEGAR ACA'!H27</f>
        <v>0</v>
      </c>
      <c r="B33" s="40">
        <f>'PEGAR ACA'!J27</f>
        <v>0</v>
      </c>
      <c r="C33" s="32">
        <f t="shared" si="0"/>
        <v>0</v>
      </c>
      <c r="D33" s="67">
        <f t="shared" si="1"/>
        <v>0</v>
      </c>
      <c r="E33" s="33"/>
      <c r="F33" s="34"/>
      <c r="G33" s="34"/>
      <c r="H33" s="33"/>
      <c r="I33" s="34"/>
      <c r="J33" s="34"/>
      <c r="K33" s="33"/>
      <c r="L33" s="34"/>
      <c r="M33" s="34"/>
      <c r="N33" s="33"/>
      <c r="O33" s="34"/>
      <c r="P33" s="34"/>
      <c r="Q33" s="33"/>
      <c r="R33" s="34"/>
      <c r="S33" s="34"/>
      <c r="T33" s="33"/>
      <c r="U33" s="34"/>
      <c r="V33" s="34"/>
      <c r="W33" s="33"/>
      <c r="X33" s="34"/>
      <c r="Y33" s="34"/>
      <c r="Z33" s="33"/>
      <c r="AA33" s="34"/>
      <c r="AB33" s="34"/>
      <c r="AC33" s="33"/>
      <c r="AD33" s="34"/>
      <c r="AE33" s="34"/>
      <c r="AF33" s="33"/>
      <c r="AG33" s="34"/>
      <c r="AH33" s="34"/>
      <c r="AI33" s="33"/>
      <c r="AJ33" s="34"/>
      <c r="AK33" s="34"/>
      <c r="AL33" s="33"/>
      <c r="AM33" s="34"/>
      <c r="AN33" s="34"/>
      <c r="AO33" s="33"/>
      <c r="AP33" s="34"/>
      <c r="AQ33" s="34"/>
      <c r="AT33" s="97" t="str">
        <f t="array" ref="AT33">"A4:B"&amp;(COUNTA(Tabla1[Tienda])+4)</f>
        <v>A4:B26</v>
      </c>
      <c r="AU33" s="97" t="str">
        <f>"C1:AQ"&amp;(COUNTA(Tabla1[Tienda])+4)</f>
        <v>C1:AQ26</v>
      </c>
      <c r="AV33" s="97" t="str">
        <f>"C1:AQ"&amp;(COUNTA(Tabla1[Tienda])+4+SUM(AW31:AW92))</f>
        <v>C1:AQ26</v>
      </c>
      <c r="AW33" s="97">
        <f t="shared" si="2"/>
        <v>0</v>
      </c>
    </row>
    <row r="34" spans="1:49" s="97" customFormat="1" ht="45" customHeight="1" x14ac:dyDescent="0.25">
      <c r="A34" s="40">
        <f>'PEGAR ACA'!H28</f>
        <v>0</v>
      </c>
      <c r="B34" s="40">
        <f>'PEGAR ACA'!J28</f>
        <v>0</v>
      </c>
      <c r="C34" s="32">
        <f t="shared" si="0"/>
        <v>0</v>
      </c>
      <c r="D34" s="67">
        <f t="shared" si="1"/>
        <v>0</v>
      </c>
      <c r="E34" s="33"/>
      <c r="F34" s="34"/>
      <c r="G34" s="34"/>
      <c r="H34" s="33"/>
      <c r="I34" s="34"/>
      <c r="J34" s="34"/>
      <c r="K34" s="33"/>
      <c r="L34" s="34"/>
      <c r="M34" s="34"/>
      <c r="N34" s="33"/>
      <c r="O34" s="34"/>
      <c r="P34" s="34"/>
      <c r="Q34" s="33"/>
      <c r="R34" s="34"/>
      <c r="S34" s="34"/>
      <c r="T34" s="33"/>
      <c r="U34" s="34"/>
      <c r="V34" s="34"/>
      <c r="W34" s="33"/>
      <c r="X34" s="34"/>
      <c r="Y34" s="34"/>
      <c r="Z34" s="33"/>
      <c r="AA34" s="34"/>
      <c r="AB34" s="34"/>
      <c r="AC34" s="33"/>
      <c r="AD34" s="34"/>
      <c r="AE34" s="34"/>
      <c r="AF34" s="33"/>
      <c r="AG34" s="34"/>
      <c r="AH34" s="34"/>
      <c r="AI34" s="33"/>
      <c r="AJ34" s="34"/>
      <c r="AK34" s="34"/>
      <c r="AL34" s="33"/>
      <c r="AM34" s="34"/>
      <c r="AN34" s="34"/>
      <c r="AO34" s="33"/>
      <c r="AP34" s="34"/>
      <c r="AQ34" s="34"/>
      <c r="AT34" s="97" t="str">
        <f t="array" ref="AT34">"A4:B"&amp;(COUNTA(Tabla1[Tienda])+4)</f>
        <v>A4:B26</v>
      </c>
      <c r="AU34" s="97" t="str">
        <f>"C1:AQ"&amp;(COUNTA(Tabla1[Tienda])+4)</f>
        <v>C1:AQ26</v>
      </c>
      <c r="AV34" s="97" t="str">
        <f>"C1:AQ"&amp;(COUNTA(Tabla1[Tienda])+4+SUM(AW15:AW73))</f>
        <v>C1:AQ29</v>
      </c>
      <c r="AW34" s="97">
        <f t="shared" si="2"/>
        <v>0</v>
      </c>
    </row>
    <row r="35" spans="1:49" s="97" customFormat="1" ht="45" customHeight="1" x14ac:dyDescent="0.25">
      <c r="A35" s="40">
        <f>'PEGAR ACA'!H29</f>
        <v>0</v>
      </c>
      <c r="B35" s="40">
        <f>'PEGAR ACA'!J29</f>
        <v>0</v>
      </c>
      <c r="C35" s="32">
        <f t="shared" si="0"/>
        <v>0</v>
      </c>
      <c r="D35" s="67">
        <f t="shared" si="1"/>
        <v>0</v>
      </c>
      <c r="E35" s="33"/>
      <c r="F35" s="34"/>
      <c r="G35" s="34"/>
      <c r="H35" s="33"/>
      <c r="I35" s="34"/>
      <c r="J35" s="34"/>
      <c r="K35" s="33"/>
      <c r="L35" s="34"/>
      <c r="M35" s="34"/>
      <c r="N35" s="33"/>
      <c r="O35" s="34"/>
      <c r="P35" s="34"/>
      <c r="Q35" s="33"/>
      <c r="R35" s="34"/>
      <c r="S35" s="34"/>
      <c r="T35" s="33"/>
      <c r="U35" s="34"/>
      <c r="V35" s="34"/>
      <c r="W35" s="33"/>
      <c r="X35" s="34"/>
      <c r="Y35" s="34"/>
      <c r="Z35" s="33"/>
      <c r="AA35" s="34"/>
      <c r="AB35" s="34"/>
      <c r="AC35" s="33"/>
      <c r="AD35" s="34"/>
      <c r="AE35" s="34"/>
      <c r="AF35" s="33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T35" s="97" t="str">
        <f t="array" ref="AT35">"A4:B"&amp;(COUNTA(Tabla1[Tienda])+4)</f>
        <v>A4:B26</v>
      </c>
      <c r="AU35" s="97" t="str">
        <f>"C1:AQ"&amp;(COUNTA(Tabla1[Tienda])+4)</f>
        <v>C1:AQ26</v>
      </c>
      <c r="AV35" s="97" t="str">
        <f>"C1:AQ"&amp;(COUNTA(Tabla1[Tienda])+4+SUM(AW34:AW73))</f>
        <v>C1:AQ26</v>
      </c>
      <c r="AW35" s="97">
        <f t="shared" si="2"/>
        <v>0</v>
      </c>
    </row>
    <row r="36" spans="1:49" s="97" customFormat="1" ht="45" customHeight="1" x14ac:dyDescent="0.25">
      <c r="A36" s="40">
        <f>'PEGAR ACA'!H30</f>
        <v>0</v>
      </c>
      <c r="B36" s="40">
        <f>'PEGAR ACA'!J30</f>
        <v>0</v>
      </c>
      <c r="C36" s="32">
        <f t="shared" si="0"/>
        <v>0</v>
      </c>
      <c r="D36" s="67">
        <f t="shared" si="1"/>
        <v>0</v>
      </c>
      <c r="E36" s="33"/>
      <c r="F36" s="34"/>
      <c r="G36" s="34"/>
      <c r="H36" s="33"/>
      <c r="I36" s="34"/>
      <c r="J36" s="34"/>
      <c r="K36" s="33"/>
      <c r="L36" s="34"/>
      <c r="M36" s="34"/>
      <c r="N36" s="33"/>
      <c r="O36" s="34"/>
      <c r="P36" s="34"/>
      <c r="Q36" s="33"/>
      <c r="R36" s="34"/>
      <c r="S36" s="34"/>
      <c r="T36" s="33"/>
      <c r="U36" s="34"/>
      <c r="V36" s="34"/>
      <c r="W36" s="33"/>
      <c r="X36" s="34"/>
      <c r="Y36" s="34"/>
      <c r="Z36" s="33"/>
      <c r="AA36" s="34"/>
      <c r="AB36" s="34"/>
      <c r="AC36" s="33"/>
      <c r="AD36" s="34"/>
      <c r="AE36" s="34"/>
      <c r="AF36" s="33"/>
      <c r="AG36" s="34"/>
      <c r="AH36" s="34"/>
      <c r="AI36" s="33"/>
      <c r="AJ36" s="34"/>
      <c r="AK36" s="34"/>
      <c r="AL36" s="33"/>
      <c r="AM36" s="34"/>
      <c r="AN36" s="34"/>
      <c r="AO36" s="33"/>
      <c r="AP36" s="34"/>
      <c r="AQ36" s="34"/>
      <c r="AT36" s="97" t="str">
        <f t="array" ref="AT36">"A4:B"&amp;(COUNTA(Tabla1[Tienda])+4)</f>
        <v>A4:B26</v>
      </c>
      <c r="AU36" s="97" t="str">
        <f>"C1:AQ"&amp;(COUNTA(Tabla1[Tienda])+4)</f>
        <v>C1:AQ26</v>
      </c>
      <c r="AV36" s="97" t="str">
        <f>"C1:AQ"&amp;(COUNTA(Tabla1[Tienda])+4+SUM(AW35:AW73))</f>
        <v>C1:AQ26</v>
      </c>
      <c r="AW36" s="97">
        <f t="shared" si="2"/>
        <v>0</v>
      </c>
    </row>
    <row r="37" spans="1:49" s="97" customFormat="1" ht="45" customHeight="1" x14ac:dyDescent="0.25">
      <c r="A37" s="40">
        <f>'PEGAR ACA'!H31</f>
        <v>0</v>
      </c>
      <c r="B37" s="40">
        <f>'PEGAR ACA'!J31</f>
        <v>0</v>
      </c>
      <c r="C37" s="32">
        <f t="shared" si="0"/>
        <v>0</v>
      </c>
      <c r="D37" s="67">
        <f t="shared" si="1"/>
        <v>0</v>
      </c>
      <c r="E37" s="33"/>
      <c r="F37" s="34"/>
      <c r="G37" s="34"/>
      <c r="H37" s="33"/>
      <c r="I37" s="34"/>
      <c r="J37" s="34"/>
      <c r="K37" s="33"/>
      <c r="L37" s="34"/>
      <c r="M37" s="34"/>
      <c r="N37" s="33"/>
      <c r="O37" s="34"/>
      <c r="P37" s="34"/>
      <c r="Q37" s="33"/>
      <c r="R37" s="34"/>
      <c r="S37" s="34"/>
      <c r="T37" s="33"/>
      <c r="U37" s="34"/>
      <c r="V37" s="34"/>
      <c r="W37" s="33"/>
      <c r="X37" s="34"/>
      <c r="Y37" s="34"/>
      <c r="Z37" s="33"/>
      <c r="AA37" s="34"/>
      <c r="AB37" s="34"/>
      <c r="AC37" s="33"/>
      <c r="AD37" s="34"/>
      <c r="AE37" s="34"/>
      <c r="AF37" s="33"/>
      <c r="AG37" s="34"/>
      <c r="AH37" s="34"/>
      <c r="AI37" s="33"/>
      <c r="AJ37" s="34"/>
      <c r="AK37" s="34"/>
      <c r="AL37" s="33"/>
      <c r="AM37" s="34"/>
      <c r="AN37" s="34"/>
      <c r="AO37" s="33"/>
      <c r="AP37" s="34"/>
      <c r="AQ37" s="34"/>
      <c r="AT37" s="97" t="str">
        <f t="array" ref="AT37">"A4:B"&amp;(COUNTA(Tabla1[Tienda])+4)</f>
        <v>A4:B26</v>
      </c>
      <c r="AU37" s="97" t="str">
        <f>"C1:AQ"&amp;(COUNTA(Tabla1[Tienda])+4)</f>
        <v>C1:AQ26</v>
      </c>
      <c r="AV37" s="97" t="str">
        <f>"C1:AQ"&amp;(COUNTA(Tabla1[Tienda])+4+SUM(AW34:AW73))</f>
        <v>C1:AQ26</v>
      </c>
      <c r="AW37" s="97">
        <f t="shared" si="2"/>
        <v>0</v>
      </c>
    </row>
    <row r="38" spans="1:49" s="97" customFormat="1" ht="45" customHeight="1" x14ac:dyDescent="0.25">
      <c r="A38" s="40">
        <f>'PEGAR ACA'!H32</f>
        <v>0</v>
      </c>
      <c r="B38" s="40">
        <f>'PEGAR ACA'!J32</f>
        <v>0</v>
      </c>
      <c r="C38" s="32">
        <f t="shared" si="0"/>
        <v>0</v>
      </c>
      <c r="D38" s="67">
        <f t="shared" si="1"/>
        <v>0</v>
      </c>
      <c r="E38" s="33"/>
      <c r="F38" s="34"/>
      <c r="G38" s="34"/>
      <c r="H38" s="33"/>
      <c r="I38" s="34"/>
      <c r="J38" s="34"/>
      <c r="K38" s="33"/>
      <c r="L38" s="34"/>
      <c r="M38" s="34"/>
      <c r="N38" s="33"/>
      <c r="O38" s="34"/>
      <c r="P38" s="34"/>
      <c r="Q38" s="33"/>
      <c r="R38" s="34"/>
      <c r="S38" s="34"/>
      <c r="T38" s="33"/>
      <c r="U38" s="34"/>
      <c r="V38" s="34"/>
      <c r="W38" s="33"/>
      <c r="X38" s="34"/>
      <c r="Y38" s="34"/>
      <c r="Z38" s="33"/>
      <c r="AA38" s="34"/>
      <c r="AB38" s="34"/>
      <c r="AC38" s="33"/>
      <c r="AD38" s="34"/>
      <c r="AE38" s="34"/>
      <c r="AF38" s="33"/>
      <c r="AG38" s="34"/>
      <c r="AH38" s="34"/>
      <c r="AI38" s="33"/>
      <c r="AJ38" s="34"/>
      <c r="AK38" s="34"/>
      <c r="AL38" s="33"/>
      <c r="AM38" s="34"/>
      <c r="AN38" s="34"/>
      <c r="AO38" s="33"/>
      <c r="AP38" s="34"/>
      <c r="AQ38" s="34"/>
      <c r="AT38" s="97" t="str">
        <f t="array" ref="AT38">"A4:B"&amp;(COUNTA(Tabla1[Tienda])+4)</f>
        <v>A4:B26</v>
      </c>
      <c r="AU38" s="97" t="str">
        <f>"C1:AQ"&amp;(COUNTA(Tabla1[Tienda])+4)</f>
        <v>C1:AQ26</v>
      </c>
      <c r="AV38" s="97" t="str">
        <f>"C1:AQ"&amp;(COUNTA(Tabla1[Tienda])+4+SUM(AW37:AW96))</f>
        <v>C1:AQ26</v>
      </c>
      <c r="AW38" s="97">
        <f t="shared" si="2"/>
        <v>0</v>
      </c>
    </row>
    <row r="39" spans="1:49" s="97" customFormat="1" ht="45" customHeight="1" x14ac:dyDescent="0.25">
      <c r="A39" s="40">
        <f>'PEGAR ACA'!H33</f>
        <v>0</v>
      </c>
      <c r="B39" s="40">
        <f>'PEGAR ACA'!J33</f>
        <v>0</v>
      </c>
      <c r="C39" s="32">
        <f t="shared" si="0"/>
        <v>0</v>
      </c>
      <c r="D39" s="67">
        <f t="shared" si="1"/>
        <v>0</v>
      </c>
      <c r="E39" s="33"/>
      <c r="F39" s="34"/>
      <c r="G39" s="34"/>
      <c r="H39" s="33"/>
      <c r="I39" s="34"/>
      <c r="J39" s="34"/>
      <c r="K39" s="33"/>
      <c r="L39" s="34"/>
      <c r="M39" s="34"/>
      <c r="N39" s="33"/>
      <c r="O39" s="34"/>
      <c r="P39" s="34"/>
      <c r="Q39" s="33"/>
      <c r="R39" s="34"/>
      <c r="S39" s="34"/>
      <c r="T39" s="33"/>
      <c r="U39" s="34"/>
      <c r="V39" s="34"/>
      <c r="W39" s="33"/>
      <c r="X39" s="34"/>
      <c r="Y39" s="34"/>
      <c r="Z39" s="33"/>
      <c r="AA39" s="34"/>
      <c r="AB39" s="34"/>
      <c r="AC39" s="33"/>
      <c r="AD39" s="34"/>
      <c r="AE39" s="34"/>
      <c r="AF39" s="33"/>
      <c r="AG39" s="34"/>
      <c r="AH39" s="34"/>
      <c r="AI39" s="33"/>
      <c r="AJ39" s="34"/>
      <c r="AK39" s="34"/>
      <c r="AL39" s="33"/>
      <c r="AM39" s="34"/>
      <c r="AN39" s="34"/>
      <c r="AO39" s="33"/>
      <c r="AP39" s="34"/>
      <c r="AQ39" s="34"/>
      <c r="AT39" s="97" t="str">
        <f t="array" ref="AT39">"A4:B"&amp;(COUNTA(Tabla1[Tienda])+4)</f>
        <v>A4:B26</v>
      </c>
      <c r="AU39" s="97" t="str">
        <f>"C1:AQ"&amp;(COUNTA(Tabla1[Tienda])+4)</f>
        <v>C1:AQ26</v>
      </c>
      <c r="AV39" s="97" t="str">
        <f>"C1:AQ"&amp;(COUNTA(Tabla1[Tienda])+4+SUM(AW37:AW73))</f>
        <v>C1:AQ26</v>
      </c>
      <c r="AW39" s="97">
        <f t="shared" si="2"/>
        <v>0</v>
      </c>
    </row>
    <row r="40" spans="1:49" s="97" customFormat="1" ht="45" customHeight="1" x14ac:dyDescent="0.25">
      <c r="A40" s="40">
        <f>'PEGAR ACA'!H34</f>
        <v>0</v>
      </c>
      <c r="B40" s="40">
        <f>'PEGAR ACA'!J34</f>
        <v>0</v>
      </c>
      <c r="C40" s="32">
        <f t="shared" si="0"/>
        <v>0</v>
      </c>
      <c r="D40" s="67">
        <f t="shared" si="1"/>
        <v>0</v>
      </c>
      <c r="E40" s="33"/>
      <c r="F40" s="34"/>
      <c r="G40" s="34"/>
      <c r="H40" s="33"/>
      <c r="I40" s="34"/>
      <c r="J40" s="34"/>
      <c r="K40" s="33"/>
      <c r="L40" s="34"/>
      <c r="M40" s="34"/>
      <c r="N40" s="33"/>
      <c r="O40" s="34"/>
      <c r="P40" s="34"/>
      <c r="Q40" s="33"/>
      <c r="R40" s="34"/>
      <c r="S40" s="34"/>
      <c r="T40" s="33"/>
      <c r="U40" s="34"/>
      <c r="V40" s="34"/>
      <c r="W40" s="33"/>
      <c r="X40" s="34"/>
      <c r="Y40" s="34"/>
      <c r="Z40" s="33"/>
      <c r="AA40" s="34"/>
      <c r="AB40" s="34"/>
      <c r="AC40" s="33"/>
      <c r="AD40" s="34"/>
      <c r="AE40" s="34"/>
      <c r="AF40" s="33"/>
      <c r="AG40" s="34"/>
      <c r="AH40" s="34"/>
      <c r="AI40" s="33"/>
      <c r="AJ40" s="34"/>
      <c r="AK40" s="34"/>
      <c r="AL40" s="33"/>
      <c r="AM40" s="34"/>
      <c r="AN40" s="34"/>
      <c r="AO40" s="33"/>
      <c r="AP40" s="34"/>
      <c r="AQ40" s="34"/>
      <c r="AT40" s="97" t="str">
        <f t="array" ref="AT40">"A4:B"&amp;(COUNTA(Tabla1[Tienda])+4)</f>
        <v>A4:B26</v>
      </c>
      <c r="AU40" s="97" t="str">
        <f>"C1:AQ"&amp;(COUNTA(Tabla1[Tienda])+4)</f>
        <v>C1:AQ26</v>
      </c>
      <c r="AV40" s="97" t="str">
        <f>"C1:AQ"&amp;(COUNTA(Tabla1[Tienda])+4+SUM(AW37:AW73))</f>
        <v>C1:AQ26</v>
      </c>
      <c r="AW40" s="97">
        <f t="shared" si="2"/>
        <v>0</v>
      </c>
    </row>
    <row r="41" spans="1:49" s="97" customFormat="1" ht="45" customHeight="1" x14ac:dyDescent="0.25">
      <c r="A41" s="40">
        <f>'PEGAR ACA'!H35</f>
        <v>0</v>
      </c>
      <c r="B41" s="40">
        <f>'PEGAR ACA'!J35</f>
        <v>0</v>
      </c>
      <c r="C41" s="32">
        <f t="shared" si="0"/>
        <v>0</v>
      </c>
      <c r="D41" s="67">
        <f t="shared" si="1"/>
        <v>0</v>
      </c>
      <c r="E41" s="33"/>
      <c r="F41" s="34"/>
      <c r="G41" s="34"/>
      <c r="H41" s="33"/>
      <c r="I41" s="34"/>
      <c r="J41" s="34"/>
      <c r="K41" s="33"/>
      <c r="L41" s="34"/>
      <c r="M41" s="34"/>
      <c r="N41" s="33"/>
      <c r="O41" s="34"/>
      <c r="P41" s="34"/>
      <c r="Q41" s="33"/>
      <c r="R41" s="34"/>
      <c r="S41" s="34"/>
      <c r="T41" s="33"/>
      <c r="U41" s="34"/>
      <c r="V41" s="34"/>
      <c r="W41" s="33"/>
      <c r="X41" s="34"/>
      <c r="Y41" s="34"/>
      <c r="Z41" s="33"/>
      <c r="AA41" s="34"/>
      <c r="AB41" s="34"/>
      <c r="AC41" s="33"/>
      <c r="AD41" s="34"/>
      <c r="AE41" s="34"/>
      <c r="AF41" s="33"/>
      <c r="AG41" s="34"/>
      <c r="AH41" s="34"/>
      <c r="AI41" s="33"/>
      <c r="AJ41" s="34"/>
      <c r="AK41" s="34"/>
      <c r="AL41" s="33"/>
      <c r="AM41" s="34"/>
      <c r="AN41" s="34"/>
      <c r="AO41" s="33"/>
      <c r="AP41" s="34"/>
      <c r="AQ41" s="34"/>
      <c r="AT41" s="97" t="str">
        <f t="array" ref="AT41">"A4:B"&amp;(COUNTA(Tabla1[Tienda])+4)</f>
        <v>A4:B26</v>
      </c>
      <c r="AU41" s="97" t="str">
        <f>"C1:AQ"&amp;(COUNTA(Tabla1[Tienda])+4)</f>
        <v>C1:AQ26</v>
      </c>
      <c r="AV41" s="97" t="str">
        <f>"C1:AQ"&amp;(COUNTA(Tabla1[Tienda])+4+SUM(AW40:AW73))</f>
        <v>C1:AQ26</v>
      </c>
      <c r="AW41" s="97">
        <f t="shared" si="2"/>
        <v>0</v>
      </c>
    </row>
    <row r="42" spans="1:49" s="97" customFormat="1" ht="45" customHeight="1" x14ac:dyDescent="0.25">
      <c r="A42" s="40">
        <f>'PEGAR ACA'!H36</f>
        <v>0</v>
      </c>
      <c r="B42" s="40">
        <f>'PEGAR ACA'!J36</f>
        <v>0</v>
      </c>
      <c r="C42" s="32">
        <f t="shared" si="0"/>
        <v>0</v>
      </c>
      <c r="D42" s="67">
        <f t="shared" si="1"/>
        <v>0</v>
      </c>
      <c r="E42" s="33"/>
      <c r="F42" s="34"/>
      <c r="G42" s="34"/>
      <c r="H42" s="33"/>
      <c r="I42" s="34"/>
      <c r="J42" s="34"/>
      <c r="K42" s="33"/>
      <c r="L42" s="34"/>
      <c r="M42" s="34"/>
      <c r="N42" s="33"/>
      <c r="O42" s="34"/>
      <c r="P42" s="34"/>
      <c r="Q42" s="33"/>
      <c r="R42" s="34"/>
      <c r="S42" s="34"/>
      <c r="T42" s="33"/>
      <c r="U42" s="34"/>
      <c r="V42" s="34"/>
      <c r="W42" s="33"/>
      <c r="X42" s="34"/>
      <c r="Y42" s="34"/>
      <c r="Z42" s="33"/>
      <c r="AA42" s="34"/>
      <c r="AB42" s="34"/>
      <c r="AC42" s="33"/>
      <c r="AD42" s="34"/>
      <c r="AE42" s="34"/>
      <c r="AF42" s="33"/>
      <c r="AG42" s="34"/>
      <c r="AH42" s="34"/>
      <c r="AI42" s="33"/>
      <c r="AJ42" s="34"/>
      <c r="AK42" s="34"/>
      <c r="AL42" s="33"/>
      <c r="AM42" s="34"/>
      <c r="AN42" s="34"/>
      <c r="AO42" s="33"/>
      <c r="AP42" s="34"/>
      <c r="AQ42" s="34"/>
      <c r="AT42" s="97" t="str">
        <f t="array" ref="AT42">"A4:B"&amp;(COUNTA(Tabla1[Tienda])+4)</f>
        <v>A4:B26</v>
      </c>
      <c r="AU42" s="97" t="str">
        <f>"C1:AQ"&amp;(COUNTA(Tabla1[Tienda])+4)</f>
        <v>C1:AQ26</v>
      </c>
      <c r="AV42" s="97" t="str">
        <f>"C1:AQ"&amp;(COUNTA(Tabla1[Tienda])+4+SUM(AW41:AW73))</f>
        <v>C1:AQ26</v>
      </c>
      <c r="AW42" s="97">
        <f t="shared" si="2"/>
        <v>0</v>
      </c>
    </row>
    <row r="43" spans="1:49" s="97" customFormat="1" ht="45" customHeight="1" x14ac:dyDescent="0.25">
      <c r="A43" s="40">
        <f>'PEGAR ACA'!H37</f>
        <v>0</v>
      </c>
      <c r="B43" s="40">
        <f>'PEGAR ACA'!J37</f>
        <v>0</v>
      </c>
      <c r="C43" s="32">
        <f t="shared" si="0"/>
        <v>0</v>
      </c>
      <c r="D43" s="67">
        <f t="shared" si="1"/>
        <v>0</v>
      </c>
      <c r="E43" s="33"/>
      <c r="F43" s="34"/>
      <c r="G43" s="34"/>
      <c r="H43" s="33"/>
      <c r="I43" s="34"/>
      <c r="J43" s="34"/>
      <c r="K43" s="33"/>
      <c r="L43" s="34"/>
      <c r="M43" s="34"/>
      <c r="N43" s="33"/>
      <c r="O43" s="34"/>
      <c r="P43" s="34"/>
      <c r="Q43" s="33"/>
      <c r="R43" s="34"/>
      <c r="S43" s="34"/>
      <c r="T43" s="33"/>
      <c r="U43" s="34"/>
      <c r="V43" s="34"/>
      <c r="W43" s="33"/>
      <c r="X43" s="34"/>
      <c r="Y43" s="34"/>
      <c r="Z43" s="33"/>
      <c r="AA43" s="34"/>
      <c r="AB43" s="34"/>
      <c r="AC43" s="33"/>
      <c r="AD43" s="34"/>
      <c r="AE43" s="34"/>
      <c r="AF43" s="33"/>
      <c r="AG43" s="34"/>
      <c r="AH43" s="34"/>
      <c r="AI43" s="33"/>
      <c r="AJ43" s="34"/>
      <c r="AK43" s="34"/>
      <c r="AL43" s="33"/>
      <c r="AM43" s="34"/>
      <c r="AN43" s="34"/>
      <c r="AO43" s="33"/>
      <c r="AP43" s="34"/>
      <c r="AQ43" s="34"/>
      <c r="AT43" s="97" t="str">
        <f t="array" ref="AT43">"A4:B"&amp;(COUNTA(Tabla1[Tienda])+4)</f>
        <v>A4:B26</v>
      </c>
      <c r="AU43" s="97" t="str">
        <f>"C1:AQ"&amp;(COUNTA(Tabla1[Tienda])+4)</f>
        <v>C1:AQ26</v>
      </c>
      <c r="AV43" s="97" t="str">
        <f>"C1:AQ"&amp;(COUNTA(Tabla1[Tienda])+4+SUM(AW41:AW73))</f>
        <v>C1:AQ26</v>
      </c>
      <c r="AW43" s="97">
        <f t="shared" si="2"/>
        <v>0</v>
      </c>
    </row>
    <row r="44" spans="1:49" s="97" customFormat="1" ht="45" customHeight="1" x14ac:dyDescent="0.25">
      <c r="A44" s="40">
        <f>'PEGAR ACA'!H38</f>
        <v>0</v>
      </c>
      <c r="B44" s="40">
        <f>'PEGAR ACA'!J38</f>
        <v>0</v>
      </c>
      <c r="C44" s="32">
        <f t="shared" si="0"/>
        <v>0</v>
      </c>
      <c r="D44" s="67">
        <f t="shared" si="1"/>
        <v>0</v>
      </c>
      <c r="E44" s="33"/>
      <c r="F44" s="34"/>
      <c r="G44" s="34"/>
      <c r="H44" s="33"/>
      <c r="I44" s="34"/>
      <c r="J44" s="34"/>
      <c r="K44" s="33"/>
      <c r="L44" s="34"/>
      <c r="M44" s="34"/>
      <c r="N44" s="33"/>
      <c r="O44" s="34"/>
      <c r="P44" s="34"/>
      <c r="Q44" s="33"/>
      <c r="R44" s="34"/>
      <c r="S44" s="34"/>
      <c r="T44" s="33"/>
      <c r="U44" s="34"/>
      <c r="V44" s="34"/>
      <c r="W44" s="33"/>
      <c r="X44" s="34"/>
      <c r="Y44" s="34"/>
      <c r="Z44" s="33"/>
      <c r="AA44" s="34"/>
      <c r="AB44" s="34"/>
      <c r="AC44" s="33"/>
      <c r="AD44" s="34"/>
      <c r="AE44" s="34"/>
      <c r="AF44" s="33"/>
      <c r="AG44" s="34"/>
      <c r="AH44" s="34"/>
      <c r="AI44" s="33"/>
      <c r="AJ44" s="34"/>
      <c r="AK44" s="34"/>
      <c r="AL44" s="33"/>
      <c r="AM44" s="34"/>
      <c r="AN44" s="34"/>
      <c r="AO44" s="33"/>
      <c r="AP44" s="34"/>
      <c r="AQ44" s="34"/>
      <c r="AT44" s="97" t="str">
        <f t="array" ref="AT44">"A4:B"&amp;(COUNTA(Tabla1[Tienda])+4)</f>
        <v>A4:B26</v>
      </c>
      <c r="AU44" s="97" t="str">
        <f>"C1:AQ"&amp;(COUNTA(Tabla1[Tienda])+4)</f>
        <v>C1:AQ26</v>
      </c>
      <c r="AV44" s="97" t="str">
        <f>"C1:AQ"&amp;(COUNTA(Tabla1[Tienda])+4+SUM(AW34:AW73))</f>
        <v>C1:AQ26</v>
      </c>
      <c r="AW44" s="97">
        <f t="shared" si="2"/>
        <v>0</v>
      </c>
    </row>
    <row r="45" spans="1:49" s="97" customFormat="1" ht="45" customHeight="1" x14ac:dyDescent="0.25">
      <c r="A45" s="40">
        <f>'PEGAR ACA'!H39</f>
        <v>0</v>
      </c>
      <c r="B45" s="40">
        <f>'PEGAR ACA'!J39</f>
        <v>0</v>
      </c>
      <c r="C45" s="32">
        <f t="shared" si="0"/>
        <v>0</v>
      </c>
      <c r="D45" s="67">
        <f t="shared" si="1"/>
        <v>0</v>
      </c>
      <c r="E45" s="33"/>
      <c r="F45" s="34"/>
      <c r="G45" s="34"/>
      <c r="H45" s="33"/>
      <c r="I45" s="34"/>
      <c r="J45" s="34"/>
      <c r="K45" s="33"/>
      <c r="L45" s="34"/>
      <c r="M45" s="34"/>
      <c r="N45" s="33"/>
      <c r="O45" s="34"/>
      <c r="P45" s="34"/>
      <c r="Q45" s="33"/>
      <c r="R45" s="34"/>
      <c r="S45" s="34"/>
      <c r="T45" s="33"/>
      <c r="U45" s="34"/>
      <c r="V45" s="34"/>
      <c r="W45" s="33"/>
      <c r="X45" s="34"/>
      <c r="Y45" s="34"/>
      <c r="Z45" s="33"/>
      <c r="AA45" s="34"/>
      <c r="AB45" s="34"/>
      <c r="AC45" s="33"/>
      <c r="AD45" s="34"/>
      <c r="AE45" s="34"/>
      <c r="AF45" s="33"/>
      <c r="AG45" s="34"/>
      <c r="AH45" s="34"/>
      <c r="AI45" s="33"/>
      <c r="AJ45" s="34"/>
      <c r="AK45" s="34"/>
      <c r="AL45" s="33"/>
      <c r="AM45" s="34"/>
      <c r="AN45" s="34"/>
      <c r="AO45" s="33"/>
      <c r="AP45" s="34"/>
      <c r="AQ45" s="34"/>
      <c r="AT45" s="97" t="str">
        <f t="array" ref="AT45">"A4:B"&amp;(COUNTA(Tabla1[Tienda])+4)</f>
        <v>A4:B26</v>
      </c>
      <c r="AU45" s="97" t="str">
        <f>"C1:AQ"&amp;(COUNTA(Tabla1[Tienda])+4)</f>
        <v>C1:AQ26</v>
      </c>
      <c r="AV45" s="97" t="str">
        <f>"C1:AQ"&amp;(COUNTA(Tabla1[Tienda])+4+SUM(AW34:AW73))</f>
        <v>C1:AQ26</v>
      </c>
      <c r="AW45" s="97">
        <f t="shared" si="2"/>
        <v>0</v>
      </c>
    </row>
    <row r="46" spans="1:49" s="97" customFormat="1" ht="45" customHeight="1" x14ac:dyDescent="0.25">
      <c r="A46" s="40">
        <f>'PEGAR ACA'!H40</f>
        <v>0</v>
      </c>
      <c r="B46" s="40">
        <f>'PEGAR ACA'!J40</f>
        <v>0</v>
      </c>
      <c r="C46" s="32">
        <f t="shared" si="0"/>
        <v>0</v>
      </c>
      <c r="D46" s="67">
        <f t="shared" si="1"/>
        <v>0</v>
      </c>
      <c r="E46" s="33"/>
      <c r="F46" s="34"/>
      <c r="G46" s="34"/>
      <c r="H46" s="33"/>
      <c r="I46" s="34"/>
      <c r="J46" s="34"/>
      <c r="K46" s="33"/>
      <c r="L46" s="34"/>
      <c r="M46" s="34"/>
      <c r="N46" s="33"/>
      <c r="O46" s="34"/>
      <c r="P46" s="34"/>
      <c r="Q46" s="33"/>
      <c r="R46" s="34"/>
      <c r="S46" s="34"/>
      <c r="T46" s="33"/>
      <c r="U46" s="34"/>
      <c r="V46" s="34"/>
      <c r="W46" s="33"/>
      <c r="X46" s="34"/>
      <c r="Y46" s="34"/>
      <c r="Z46" s="33"/>
      <c r="AA46" s="34"/>
      <c r="AB46" s="34"/>
      <c r="AC46" s="33"/>
      <c r="AD46" s="34"/>
      <c r="AE46" s="34"/>
      <c r="AF46" s="33"/>
      <c r="AG46" s="34"/>
      <c r="AH46" s="34"/>
      <c r="AI46" s="33"/>
      <c r="AJ46" s="34"/>
      <c r="AK46" s="34"/>
      <c r="AL46" s="33"/>
      <c r="AM46" s="34"/>
      <c r="AN46" s="34"/>
      <c r="AO46" s="33"/>
      <c r="AP46" s="34"/>
      <c r="AQ46" s="34"/>
      <c r="AT46" s="97" t="str">
        <f t="array" ref="AT46">"A4:B"&amp;(COUNTA(Tabla1[Tienda])+4)</f>
        <v>A4:B26</v>
      </c>
      <c r="AU46" s="97" t="str">
        <f>"C1:AQ"&amp;(COUNTA(Tabla1[Tienda])+4)</f>
        <v>C1:AQ26</v>
      </c>
      <c r="AV46" s="97" t="str">
        <f>"C1:AQ"&amp;(COUNTA(Tabla1[Tienda])+4+SUM(AW15:AW73))</f>
        <v>C1:AQ29</v>
      </c>
      <c r="AW46" s="97">
        <f t="shared" si="2"/>
        <v>0</v>
      </c>
    </row>
    <row r="47" spans="1:49" s="97" customFormat="1" ht="45" customHeight="1" x14ac:dyDescent="0.25">
      <c r="A47" s="40">
        <f>'PEGAR ACA'!H41</f>
        <v>0</v>
      </c>
      <c r="B47" s="40">
        <f>'PEGAR ACA'!J41</f>
        <v>0</v>
      </c>
      <c r="C47" s="32">
        <f t="shared" si="0"/>
        <v>0</v>
      </c>
      <c r="D47" s="67">
        <f t="shared" si="1"/>
        <v>0</v>
      </c>
      <c r="E47" s="33"/>
      <c r="F47" s="34"/>
      <c r="G47" s="34"/>
      <c r="H47" s="33"/>
      <c r="I47" s="34"/>
      <c r="J47" s="34"/>
      <c r="K47" s="33"/>
      <c r="L47" s="34"/>
      <c r="M47" s="34"/>
      <c r="N47" s="33"/>
      <c r="O47" s="34"/>
      <c r="P47" s="34"/>
      <c r="Q47" s="33"/>
      <c r="R47" s="34"/>
      <c r="S47" s="34"/>
      <c r="T47" s="33"/>
      <c r="U47" s="34"/>
      <c r="V47" s="34"/>
      <c r="W47" s="33"/>
      <c r="X47" s="34"/>
      <c r="Y47" s="34"/>
      <c r="Z47" s="33"/>
      <c r="AA47" s="34"/>
      <c r="AB47" s="34"/>
      <c r="AC47" s="33"/>
      <c r="AD47" s="34"/>
      <c r="AE47" s="34"/>
      <c r="AF47" s="33"/>
      <c r="AG47" s="34"/>
      <c r="AH47" s="34"/>
      <c r="AI47" s="33"/>
      <c r="AJ47" s="34"/>
      <c r="AK47" s="34"/>
      <c r="AL47" s="33"/>
      <c r="AM47" s="34"/>
      <c r="AN47" s="34"/>
      <c r="AO47" s="33"/>
      <c r="AP47" s="34"/>
      <c r="AQ47" s="34"/>
      <c r="AT47" s="97" t="str">
        <f t="array" ref="AT47">"A4:B"&amp;(COUNTA(Tabla1[Tienda])+4)</f>
        <v>A4:B26</v>
      </c>
      <c r="AU47" s="97" t="str">
        <f>"C1:AQ"&amp;(COUNTA(Tabla1[Tienda])+4)</f>
        <v>C1:AQ26</v>
      </c>
      <c r="AV47" s="97" t="str">
        <f>"C1:AQ"&amp;(COUNTA(Tabla1[Tienda])+4+SUM(AW46:AW73))</f>
        <v>C1:AQ26</v>
      </c>
      <c r="AW47" s="97">
        <f t="shared" si="2"/>
        <v>0</v>
      </c>
    </row>
    <row r="48" spans="1:49" s="97" customFormat="1" ht="45" customHeight="1" x14ac:dyDescent="0.25">
      <c r="A48" s="40">
        <f>'PEGAR ACA'!H42</f>
        <v>0</v>
      </c>
      <c r="B48" s="40">
        <f>'PEGAR ACA'!J42</f>
        <v>0</v>
      </c>
      <c r="C48" s="32">
        <f t="shared" si="0"/>
        <v>0</v>
      </c>
      <c r="D48" s="67">
        <f t="shared" si="1"/>
        <v>0</v>
      </c>
      <c r="E48" s="33"/>
      <c r="F48" s="34"/>
      <c r="G48" s="34"/>
      <c r="H48" s="33"/>
      <c r="I48" s="34"/>
      <c r="J48" s="34"/>
      <c r="K48" s="33"/>
      <c r="L48" s="34"/>
      <c r="M48" s="34"/>
      <c r="N48" s="33"/>
      <c r="O48" s="34"/>
      <c r="P48" s="34"/>
      <c r="Q48" s="33"/>
      <c r="R48" s="34"/>
      <c r="S48" s="34"/>
      <c r="T48" s="33"/>
      <c r="U48" s="34"/>
      <c r="V48" s="34"/>
      <c r="W48" s="33"/>
      <c r="X48" s="34"/>
      <c r="Y48" s="34"/>
      <c r="Z48" s="33"/>
      <c r="AA48" s="34"/>
      <c r="AB48" s="34"/>
      <c r="AC48" s="33"/>
      <c r="AD48" s="34"/>
      <c r="AE48" s="34"/>
      <c r="AF48" s="33"/>
      <c r="AG48" s="34"/>
      <c r="AH48" s="34"/>
      <c r="AI48" s="33"/>
      <c r="AJ48" s="34"/>
      <c r="AK48" s="34"/>
      <c r="AL48" s="33"/>
      <c r="AM48" s="34"/>
      <c r="AN48" s="34"/>
      <c r="AO48" s="33"/>
      <c r="AP48" s="34"/>
      <c r="AQ48" s="34"/>
      <c r="AT48" s="97" t="str">
        <f t="array" ref="AT48">"A4:B"&amp;(COUNTA(Tabla1[Tienda])+4)</f>
        <v>A4:B26</v>
      </c>
      <c r="AU48" s="97" t="str">
        <f>"C1:AQ"&amp;(COUNTA(Tabla1[Tienda])+4)</f>
        <v>C1:AQ26</v>
      </c>
      <c r="AV48" s="97" t="str">
        <f>"C1:AQ"&amp;(COUNTA(Tabla1[Tienda])+4+SUM(AW47:AW73))</f>
        <v>C1:AQ26</v>
      </c>
      <c r="AW48" s="97">
        <f t="shared" si="2"/>
        <v>0</v>
      </c>
    </row>
    <row r="49" spans="1:49" s="97" customFormat="1" ht="45" customHeight="1" x14ac:dyDescent="0.25">
      <c r="A49" s="40">
        <f>'PEGAR ACA'!H43</f>
        <v>0</v>
      </c>
      <c r="B49" s="40">
        <f>'PEGAR ACA'!J43</f>
        <v>0</v>
      </c>
      <c r="C49" s="32">
        <f t="shared" si="0"/>
        <v>0</v>
      </c>
      <c r="D49" s="67">
        <f t="shared" si="1"/>
        <v>0</v>
      </c>
      <c r="E49" s="33"/>
      <c r="F49" s="34"/>
      <c r="G49" s="34"/>
      <c r="H49" s="33"/>
      <c r="I49" s="34"/>
      <c r="J49" s="34"/>
      <c r="K49" s="33"/>
      <c r="L49" s="34"/>
      <c r="M49" s="34"/>
      <c r="N49" s="33"/>
      <c r="O49" s="34"/>
      <c r="P49" s="34"/>
      <c r="Q49" s="33"/>
      <c r="R49" s="34"/>
      <c r="S49" s="34"/>
      <c r="T49" s="33"/>
      <c r="U49" s="34"/>
      <c r="V49" s="34"/>
      <c r="W49" s="33"/>
      <c r="X49" s="34"/>
      <c r="Y49" s="34"/>
      <c r="Z49" s="33"/>
      <c r="AA49" s="34"/>
      <c r="AB49" s="34"/>
      <c r="AC49" s="33"/>
      <c r="AD49" s="34"/>
      <c r="AE49" s="34"/>
      <c r="AF49" s="33"/>
      <c r="AG49" s="34"/>
      <c r="AH49" s="34"/>
      <c r="AI49" s="33"/>
      <c r="AJ49" s="34"/>
      <c r="AK49" s="34"/>
      <c r="AL49" s="33"/>
      <c r="AM49" s="34"/>
      <c r="AN49" s="34"/>
      <c r="AO49" s="33"/>
      <c r="AP49" s="34"/>
      <c r="AQ49" s="34"/>
      <c r="AT49" s="97" t="str">
        <f t="array" ref="AT49">"A4:B"&amp;(COUNTA(Tabla1[Tienda])+4)</f>
        <v>A4:B26</v>
      </c>
      <c r="AU49" s="97" t="str">
        <f>"C1:AQ"&amp;(COUNTA(Tabla1[Tienda])+4)</f>
        <v>C1:AQ26</v>
      </c>
      <c r="AV49" s="97" t="str">
        <f>"C1:AQ"&amp;(COUNTA(Tabla1[Tienda])+4+SUM(AW47:AW73))</f>
        <v>C1:AQ26</v>
      </c>
      <c r="AW49" s="97">
        <f t="shared" si="2"/>
        <v>0</v>
      </c>
    </row>
    <row r="50" spans="1:49" s="97" customFormat="1" ht="45" customHeight="1" x14ac:dyDescent="0.25">
      <c r="A50" s="40">
        <f>'PEGAR ACA'!H44</f>
        <v>0</v>
      </c>
      <c r="B50" s="40">
        <f>'PEGAR ACA'!J44</f>
        <v>0</v>
      </c>
      <c r="C50" s="32">
        <f t="shared" si="0"/>
        <v>0</v>
      </c>
      <c r="D50" s="67">
        <f t="shared" si="1"/>
        <v>0</v>
      </c>
      <c r="E50" s="33"/>
      <c r="F50" s="34"/>
      <c r="G50" s="34"/>
      <c r="H50" s="33"/>
      <c r="I50" s="34"/>
      <c r="J50" s="34"/>
      <c r="K50" s="33"/>
      <c r="L50" s="34"/>
      <c r="M50" s="34"/>
      <c r="N50" s="33"/>
      <c r="O50" s="34"/>
      <c r="P50" s="34"/>
      <c r="Q50" s="33"/>
      <c r="R50" s="34"/>
      <c r="S50" s="34"/>
      <c r="T50" s="33"/>
      <c r="U50" s="34"/>
      <c r="V50" s="34"/>
      <c r="W50" s="33"/>
      <c r="X50" s="34"/>
      <c r="Y50" s="34"/>
      <c r="Z50" s="33"/>
      <c r="AA50" s="34"/>
      <c r="AB50" s="34"/>
      <c r="AC50" s="33"/>
      <c r="AD50" s="34"/>
      <c r="AE50" s="34"/>
      <c r="AF50" s="33"/>
      <c r="AG50" s="34"/>
      <c r="AH50" s="34"/>
      <c r="AI50" s="33"/>
      <c r="AJ50" s="34"/>
      <c r="AK50" s="34"/>
      <c r="AL50" s="33"/>
      <c r="AM50" s="34"/>
      <c r="AN50" s="34"/>
      <c r="AO50" s="33"/>
      <c r="AP50" s="34"/>
      <c r="AQ50" s="34"/>
      <c r="AT50" s="97" t="str">
        <f t="array" ref="AT50">"A4:B"&amp;(COUNTA(Tabla1[Tienda])+4)</f>
        <v>A4:B26</v>
      </c>
      <c r="AU50" s="97" t="str">
        <f>"C1:AQ"&amp;(COUNTA(Tabla1[Tienda])+4)</f>
        <v>C1:AQ26</v>
      </c>
      <c r="AV50" s="97" t="str">
        <f>"C1:AQ"&amp;(COUNTA(Tabla1[Tienda])+4+SUM(AW46:AW73))</f>
        <v>C1:AQ26</v>
      </c>
      <c r="AW50" s="97">
        <f t="shared" si="2"/>
        <v>0</v>
      </c>
    </row>
    <row r="51" spans="1:49" s="97" customFormat="1" ht="45" customHeight="1" x14ac:dyDescent="0.25">
      <c r="A51" s="40">
        <f>'PEGAR ACA'!H45</f>
        <v>0</v>
      </c>
      <c r="B51" s="40">
        <f>'PEGAR ACA'!J45</f>
        <v>0</v>
      </c>
      <c r="C51" s="32">
        <f t="shared" si="0"/>
        <v>0</v>
      </c>
      <c r="D51" s="67">
        <f t="shared" si="1"/>
        <v>0</v>
      </c>
      <c r="E51" s="33"/>
      <c r="F51" s="34"/>
      <c r="G51" s="34"/>
      <c r="H51" s="33"/>
      <c r="I51" s="34"/>
      <c r="J51" s="34"/>
      <c r="K51" s="33"/>
      <c r="L51" s="34"/>
      <c r="M51" s="34"/>
      <c r="N51" s="33"/>
      <c r="O51" s="34"/>
      <c r="P51" s="34"/>
      <c r="Q51" s="33"/>
      <c r="R51" s="34"/>
      <c r="S51" s="34"/>
      <c r="T51" s="33"/>
      <c r="U51" s="34"/>
      <c r="V51" s="34"/>
      <c r="W51" s="33"/>
      <c r="X51" s="34"/>
      <c r="Y51" s="34"/>
      <c r="Z51" s="33"/>
      <c r="AA51" s="34"/>
      <c r="AB51" s="34"/>
      <c r="AC51" s="33"/>
      <c r="AD51" s="34"/>
      <c r="AE51" s="34"/>
      <c r="AF51" s="33"/>
      <c r="AG51" s="34"/>
      <c r="AH51" s="34"/>
      <c r="AI51" s="33"/>
      <c r="AJ51" s="34"/>
      <c r="AK51" s="34"/>
      <c r="AL51" s="33"/>
      <c r="AM51" s="34"/>
      <c r="AN51" s="34"/>
      <c r="AO51" s="33"/>
      <c r="AP51" s="34"/>
      <c r="AQ51" s="34"/>
      <c r="AT51" s="97" t="str">
        <f t="array" ref="AT51">"A4:B"&amp;(COUNTA(Tabla1[Tienda])+4)</f>
        <v>A4:B26</v>
      </c>
      <c r="AU51" s="97" t="str">
        <f>"C1:AQ"&amp;(COUNTA(Tabla1[Tienda])+4)</f>
        <v>C1:AQ26</v>
      </c>
      <c r="AV51" s="97" t="str">
        <f>"C1:AQ"&amp;(COUNTA(Tabla1[Tienda])+4+SUM(AW50:AW73))</f>
        <v>C1:AQ26</v>
      </c>
      <c r="AW51" s="97">
        <f t="shared" si="2"/>
        <v>0</v>
      </c>
    </row>
    <row r="52" spans="1:49" s="97" customFormat="1" ht="45" customHeight="1" x14ac:dyDescent="0.25">
      <c r="A52" s="40">
        <f>'PEGAR ACA'!H46</f>
        <v>0</v>
      </c>
      <c r="B52" s="40">
        <f>'PEGAR ACA'!J46</f>
        <v>0</v>
      </c>
      <c r="C52" s="32">
        <f t="shared" si="0"/>
        <v>0</v>
      </c>
      <c r="D52" s="67">
        <f t="shared" si="1"/>
        <v>0</v>
      </c>
      <c r="E52" s="33"/>
      <c r="F52" s="34"/>
      <c r="G52" s="34"/>
      <c r="H52" s="33"/>
      <c r="I52" s="34"/>
      <c r="J52" s="34"/>
      <c r="K52" s="33"/>
      <c r="L52" s="34"/>
      <c r="M52" s="34"/>
      <c r="N52" s="33"/>
      <c r="O52" s="34"/>
      <c r="P52" s="34"/>
      <c r="Q52" s="33"/>
      <c r="R52" s="34"/>
      <c r="S52" s="34"/>
      <c r="T52" s="33"/>
      <c r="U52" s="34"/>
      <c r="V52" s="34"/>
      <c r="W52" s="33"/>
      <c r="X52" s="34"/>
      <c r="Y52" s="34"/>
      <c r="Z52" s="33"/>
      <c r="AA52" s="34"/>
      <c r="AB52" s="34"/>
      <c r="AC52" s="33"/>
      <c r="AD52" s="34"/>
      <c r="AE52" s="34"/>
      <c r="AF52" s="33"/>
      <c r="AG52" s="34"/>
      <c r="AH52" s="34"/>
      <c r="AI52" s="33"/>
      <c r="AJ52" s="34"/>
      <c r="AK52" s="34"/>
      <c r="AL52" s="33"/>
      <c r="AM52" s="34"/>
      <c r="AN52" s="34"/>
      <c r="AO52" s="33"/>
      <c r="AP52" s="34"/>
      <c r="AQ52" s="34"/>
      <c r="AT52" s="97" t="str">
        <f t="array" ref="AT52">"A4:B"&amp;(COUNTA(Tabla1[Tienda])+4)</f>
        <v>A4:B26</v>
      </c>
      <c r="AU52" s="97" t="str">
        <f>"C1:AQ"&amp;(COUNTA(Tabla1[Tienda])+4)</f>
        <v>C1:AQ26</v>
      </c>
      <c r="AV52" s="97" t="str">
        <f>"C1:AQ"&amp;(COUNTA(Tabla1[Tienda])+4+SUM(AW50:AW73))</f>
        <v>C1:AQ26</v>
      </c>
      <c r="AW52" s="97">
        <f t="shared" si="2"/>
        <v>0</v>
      </c>
    </row>
    <row r="53" spans="1:49" s="97" customFormat="1" ht="45" customHeight="1" x14ac:dyDescent="0.25">
      <c r="A53" s="40">
        <f>'PEGAR ACA'!H47</f>
        <v>0</v>
      </c>
      <c r="B53" s="40">
        <f>'PEGAR ACA'!J47</f>
        <v>0</v>
      </c>
      <c r="C53" s="32">
        <f t="shared" si="0"/>
        <v>0</v>
      </c>
      <c r="D53" s="67">
        <f t="shared" si="1"/>
        <v>0</v>
      </c>
      <c r="E53" s="33"/>
      <c r="F53" s="34"/>
      <c r="G53" s="34"/>
      <c r="H53" s="33"/>
      <c r="I53" s="34"/>
      <c r="J53" s="34"/>
      <c r="K53" s="33"/>
      <c r="L53" s="34"/>
      <c r="M53" s="34"/>
      <c r="N53" s="33"/>
      <c r="O53" s="34"/>
      <c r="P53" s="34"/>
      <c r="Q53" s="33"/>
      <c r="R53" s="34"/>
      <c r="S53" s="34"/>
      <c r="T53" s="33"/>
      <c r="U53" s="34"/>
      <c r="V53" s="34"/>
      <c r="W53" s="33"/>
      <c r="X53" s="34"/>
      <c r="Y53" s="34"/>
      <c r="Z53" s="33"/>
      <c r="AA53" s="34"/>
      <c r="AB53" s="34"/>
      <c r="AC53" s="33"/>
      <c r="AD53" s="34"/>
      <c r="AE53" s="34"/>
      <c r="AF53" s="33"/>
      <c r="AG53" s="34"/>
      <c r="AH53" s="34"/>
      <c r="AI53" s="33"/>
      <c r="AJ53" s="34"/>
      <c r="AK53" s="34"/>
      <c r="AL53" s="33"/>
      <c r="AM53" s="34"/>
      <c r="AN53" s="34"/>
      <c r="AO53" s="33"/>
      <c r="AP53" s="34"/>
      <c r="AQ53" s="34"/>
      <c r="AT53" s="97" t="str">
        <f t="array" ref="AT53">"A4:B"&amp;(COUNTA(Tabla1[Tienda])+4)</f>
        <v>A4:B26</v>
      </c>
      <c r="AU53" s="97" t="str">
        <f>"C1:AQ"&amp;(COUNTA(Tabla1[Tienda])+4)</f>
        <v>C1:AQ26</v>
      </c>
      <c r="AV53" s="97" t="str">
        <f>"C1:AQ"&amp;(COUNTA(Tabla1[Tienda])+4+SUM(AW52:AW73))</f>
        <v>C1:AQ26</v>
      </c>
      <c r="AW53" s="97">
        <f t="shared" si="2"/>
        <v>0</v>
      </c>
    </row>
    <row r="54" spans="1:49" s="97" customFormat="1" ht="45" customHeight="1" x14ac:dyDescent="0.25">
      <c r="A54" s="40">
        <f>'PEGAR ACA'!H48</f>
        <v>0</v>
      </c>
      <c r="B54" s="40">
        <f>'PEGAR ACA'!J48</f>
        <v>0</v>
      </c>
      <c r="C54" s="32">
        <f t="shared" si="0"/>
        <v>0</v>
      </c>
      <c r="D54" s="67">
        <f t="shared" si="1"/>
        <v>0</v>
      </c>
      <c r="E54" s="33"/>
      <c r="F54" s="34"/>
      <c r="G54" s="34"/>
      <c r="H54" s="33"/>
      <c r="I54" s="34"/>
      <c r="J54" s="34"/>
      <c r="K54" s="33"/>
      <c r="L54" s="34"/>
      <c r="M54" s="34"/>
      <c r="N54" s="33"/>
      <c r="O54" s="34"/>
      <c r="P54" s="34"/>
      <c r="Q54" s="33"/>
      <c r="R54" s="34"/>
      <c r="S54" s="34"/>
      <c r="T54" s="33"/>
      <c r="U54" s="34"/>
      <c r="V54" s="34"/>
      <c r="W54" s="33"/>
      <c r="X54" s="34"/>
      <c r="Y54" s="34"/>
      <c r="Z54" s="33"/>
      <c r="AA54" s="34"/>
      <c r="AB54" s="34"/>
      <c r="AC54" s="33"/>
      <c r="AD54" s="34"/>
      <c r="AE54" s="34"/>
      <c r="AF54" s="33"/>
      <c r="AG54" s="34"/>
      <c r="AH54" s="34"/>
      <c r="AI54" s="33"/>
      <c r="AJ54" s="34"/>
      <c r="AK54" s="34"/>
      <c r="AL54" s="33"/>
      <c r="AM54" s="34"/>
      <c r="AN54" s="34"/>
      <c r="AO54" s="33"/>
      <c r="AP54" s="34"/>
      <c r="AQ54" s="34"/>
      <c r="AT54" s="97" t="str">
        <f t="array" ref="AT54">"A4:B"&amp;(COUNTA(Tabla1[Tienda])+4)</f>
        <v>A4:B26</v>
      </c>
      <c r="AU54" s="97" t="str">
        <f>"C1:AQ"&amp;(COUNTA(Tabla1[Tienda])+4)</f>
        <v>C1:AQ26</v>
      </c>
      <c r="AV54" s="97" t="str">
        <f>"C1:AQ"&amp;(COUNTA(Tabla1[Tienda])+4+SUM(AW52:AW73))</f>
        <v>C1:AQ26</v>
      </c>
      <c r="AW54" s="97">
        <f t="shared" si="2"/>
        <v>0</v>
      </c>
    </row>
    <row r="55" spans="1:49" s="97" customFormat="1" ht="45" customHeight="1" x14ac:dyDescent="0.25">
      <c r="A55" s="40">
        <f>'PEGAR ACA'!H49</f>
        <v>0</v>
      </c>
      <c r="B55" s="40">
        <f>'PEGAR ACA'!J49</f>
        <v>0</v>
      </c>
      <c r="C55" s="32">
        <f t="shared" si="0"/>
        <v>0</v>
      </c>
      <c r="D55" s="67">
        <f t="shared" si="1"/>
        <v>0</v>
      </c>
      <c r="E55" s="33"/>
      <c r="F55" s="34"/>
      <c r="G55" s="34"/>
      <c r="H55" s="33"/>
      <c r="I55" s="34"/>
      <c r="J55" s="34"/>
      <c r="K55" s="33"/>
      <c r="L55" s="34"/>
      <c r="M55" s="34"/>
      <c r="N55" s="33"/>
      <c r="O55" s="34"/>
      <c r="P55" s="34"/>
      <c r="Q55" s="33"/>
      <c r="R55" s="34"/>
      <c r="S55" s="34"/>
      <c r="T55" s="33"/>
      <c r="U55" s="34"/>
      <c r="V55" s="34"/>
      <c r="W55" s="33"/>
      <c r="X55" s="34"/>
      <c r="Y55" s="34"/>
      <c r="Z55" s="33"/>
      <c r="AA55" s="34"/>
      <c r="AB55" s="34"/>
      <c r="AC55" s="33"/>
      <c r="AD55" s="34"/>
      <c r="AE55" s="34"/>
      <c r="AF55" s="33"/>
      <c r="AG55" s="34"/>
      <c r="AH55" s="34"/>
      <c r="AI55" s="33"/>
      <c r="AJ55" s="34"/>
      <c r="AK55" s="34"/>
      <c r="AL55" s="33"/>
      <c r="AM55" s="34"/>
      <c r="AN55" s="34"/>
      <c r="AO55" s="33"/>
      <c r="AP55" s="34"/>
      <c r="AQ55" s="34"/>
      <c r="AT55" s="97" t="str">
        <f t="array" ref="AT55">"A4:B"&amp;(COUNTA(Tabla1[Tienda])+4)</f>
        <v>A4:B26</v>
      </c>
      <c r="AU55" s="97" t="str">
        <f>"C1:AQ"&amp;(COUNTA(Tabla1[Tienda])+4)</f>
        <v>C1:AQ26</v>
      </c>
      <c r="AV55" s="97" t="str">
        <f>"C1:AQ"&amp;(COUNTA(Tabla1[Tienda])+4+SUM(AW50:AW73))</f>
        <v>C1:AQ26</v>
      </c>
      <c r="AW55" s="97">
        <f t="shared" si="2"/>
        <v>0</v>
      </c>
    </row>
    <row r="56" spans="1:49" s="97" customFormat="1" ht="45" customHeight="1" x14ac:dyDescent="0.25">
      <c r="A56" s="40">
        <f>'PEGAR ACA'!H50</f>
        <v>0</v>
      </c>
      <c r="B56" s="40">
        <f>'PEGAR ACA'!J50</f>
        <v>0</v>
      </c>
      <c r="C56" s="32">
        <f t="shared" si="0"/>
        <v>0</v>
      </c>
      <c r="D56" s="67">
        <f t="shared" si="1"/>
        <v>0</v>
      </c>
      <c r="E56" s="33"/>
      <c r="F56" s="34"/>
      <c r="G56" s="34"/>
      <c r="H56" s="33"/>
      <c r="I56" s="34"/>
      <c r="J56" s="34"/>
      <c r="K56" s="33"/>
      <c r="L56" s="34"/>
      <c r="M56" s="34"/>
      <c r="N56" s="33"/>
      <c r="O56" s="34"/>
      <c r="P56" s="34"/>
      <c r="Q56" s="33"/>
      <c r="R56" s="34"/>
      <c r="S56" s="34"/>
      <c r="T56" s="33"/>
      <c r="U56" s="34"/>
      <c r="V56" s="34"/>
      <c r="W56" s="33"/>
      <c r="X56" s="34"/>
      <c r="Y56" s="34"/>
      <c r="Z56" s="33"/>
      <c r="AA56" s="34"/>
      <c r="AB56" s="34"/>
      <c r="AC56" s="33"/>
      <c r="AD56" s="34"/>
      <c r="AE56" s="34"/>
      <c r="AF56" s="33"/>
      <c r="AG56" s="34"/>
      <c r="AH56" s="34"/>
      <c r="AI56" s="33"/>
      <c r="AJ56" s="34"/>
      <c r="AK56" s="34"/>
      <c r="AL56" s="33"/>
      <c r="AM56" s="34"/>
      <c r="AN56" s="34"/>
      <c r="AO56" s="33"/>
      <c r="AP56" s="34"/>
      <c r="AQ56" s="34"/>
      <c r="AT56" s="97" t="str">
        <f t="array" ref="AT56">"A4:B"&amp;(COUNTA(Tabla1[Tienda])+4)</f>
        <v>A4:B26</v>
      </c>
      <c r="AU56" s="97" t="str">
        <f>"C1:AQ"&amp;(COUNTA(Tabla1[Tienda])+4)</f>
        <v>C1:AQ26</v>
      </c>
      <c r="AV56" s="97" t="str">
        <f>"C1:AQ"&amp;(COUNTA(Tabla1[Tienda])+4+SUM(AW50:AW73))</f>
        <v>C1:AQ26</v>
      </c>
      <c r="AW56" s="97">
        <f t="shared" si="2"/>
        <v>0</v>
      </c>
    </row>
    <row r="57" spans="1:49" s="97" customFormat="1" ht="45" customHeight="1" x14ac:dyDescent="0.25">
      <c r="A57" s="40">
        <f>'PEGAR ACA'!H51</f>
        <v>0</v>
      </c>
      <c r="B57" s="40">
        <f>'PEGAR ACA'!J51</f>
        <v>0</v>
      </c>
      <c r="C57" s="32">
        <f t="shared" si="0"/>
        <v>0</v>
      </c>
      <c r="D57" s="67">
        <f t="shared" si="1"/>
        <v>0</v>
      </c>
      <c r="E57" s="33"/>
      <c r="F57" s="34"/>
      <c r="G57" s="34"/>
      <c r="H57" s="33"/>
      <c r="I57" s="34"/>
      <c r="J57" s="34"/>
      <c r="K57" s="33"/>
      <c r="L57" s="34"/>
      <c r="M57" s="34"/>
      <c r="N57" s="33"/>
      <c r="O57" s="34"/>
      <c r="P57" s="34"/>
      <c r="Q57" s="33"/>
      <c r="R57" s="34"/>
      <c r="S57" s="34"/>
      <c r="T57" s="33"/>
      <c r="U57" s="34"/>
      <c r="V57" s="34"/>
      <c r="W57" s="33"/>
      <c r="X57" s="34"/>
      <c r="Y57" s="34"/>
      <c r="Z57" s="33"/>
      <c r="AA57" s="34"/>
      <c r="AB57" s="34"/>
      <c r="AC57" s="33"/>
      <c r="AD57" s="34"/>
      <c r="AE57" s="34"/>
      <c r="AF57" s="33"/>
      <c r="AG57" s="34"/>
      <c r="AH57" s="34"/>
      <c r="AI57" s="33"/>
      <c r="AJ57" s="34"/>
      <c r="AK57" s="34"/>
      <c r="AL57" s="33"/>
      <c r="AM57" s="34"/>
      <c r="AN57" s="34"/>
      <c r="AO57" s="33"/>
      <c r="AP57" s="34"/>
      <c r="AQ57" s="34"/>
      <c r="AT57" s="97" t="str">
        <f t="array" ref="AT57">"A4:B"&amp;(COUNTA(Tabla1[Tienda])+4)</f>
        <v>A4:B26</v>
      </c>
      <c r="AU57" s="97" t="str">
        <f>"C1:AQ"&amp;(COUNTA(Tabla1[Tienda])+4)</f>
        <v>C1:AQ26</v>
      </c>
      <c r="AV57" s="97" t="str">
        <f>"C1:AQ"&amp;(COUNTA(Tabla1[Tienda])+4+SUM(AW50:AW73))</f>
        <v>C1:AQ26</v>
      </c>
      <c r="AW57" s="97">
        <f t="shared" si="2"/>
        <v>0</v>
      </c>
    </row>
    <row r="58" spans="1:49" s="97" customFormat="1" ht="45" customHeight="1" x14ac:dyDescent="0.25">
      <c r="A58" s="40">
        <f>'PEGAR ACA'!H52</f>
        <v>0</v>
      </c>
      <c r="B58" s="40">
        <f>'PEGAR ACA'!J52</f>
        <v>0</v>
      </c>
      <c r="C58" s="32">
        <f t="shared" si="0"/>
        <v>0</v>
      </c>
      <c r="D58" s="67">
        <f t="shared" si="1"/>
        <v>0</v>
      </c>
      <c r="E58" s="33"/>
      <c r="F58" s="34"/>
      <c r="G58" s="34"/>
      <c r="H58" s="33"/>
      <c r="I58" s="34"/>
      <c r="J58" s="34"/>
      <c r="K58" s="33"/>
      <c r="L58" s="34"/>
      <c r="M58" s="34"/>
      <c r="N58" s="33"/>
      <c r="O58" s="34"/>
      <c r="P58" s="34"/>
      <c r="Q58" s="33"/>
      <c r="R58" s="34"/>
      <c r="S58" s="34"/>
      <c r="T58" s="33"/>
      <c r="U58" s="34"/>
      <c r="V58" s="34"/>
      <c r="W58" s="33"/>
      <c r="X58" s="34"/>
      <c r="Y58" s="34"/>
      <c r="Z58" s="33"/>
      <c r="AA58" s="34"/>
      <c r="AB58" s="34"/>
      <c r="AC58" s="33"/>
      <c r="AD58" s="34"/>
      <c r="AE58" s="34"/>
      <c r="AF58" s="33"/>
      <c r="AG58" s="34"/>
      <c r="AH58" s="34"/>
      <c r="AI58" s="33"/>
      <c r="AJ58" s="34"/>
      <c r="AK58" s="34"/>
      <c r="AL58" s="33"/>
      <c r="AM58" s="34"/>
      <c r="AN58" s="34"/>
      <c r="AO58" s="33"/>
      <c r="AP58" s="34"/>
      <c r="AQ58" s="34"/>
      <c r="AT58" s="97" t="str">
        <f t="array" ref="AT58">"A4:B"&amp;(COUNTA(Tabla1[Tienda])+4)</f>
        <v>A4:B26</v>
      </c>
      <c r="AU58" s="97" t="str">
        <f>"C1:AQ"&amp;(COUNTA(Tabla1[Tienda])+4)</f>
        <v>C1:AQ26</v>
      </c>
      <c r="AV58" s="97" t="str">
        <f>"C1:AQ"&amp;(COUNTA(Tabla1[Tienda])+4+SUM(AW57:AW73))</f>
        <v>C1:AQ26</v>
      </c>
      <c r="AW58" s="97">
        <f t="shared" si="2"/>
        <v>0</v>
      </c>
    </row>
    <row r="59" spans="1:49" s="97" customFormat="1" ht="45" customHeight="1" x14ac:dyDescent="0.25">
      <c r="A59" s="40">
        <f>'PEGAR ACA'!H53</f>
        <v>0</v>
      </c>
      <c r="B59" s="40">
        <f>'PEGAR ACA'!J53</f>
        <v>0</v>
      </c>
      <c r="C59" s="32">
        <f t="shared" si="0"/>
        <v>0</v>
      </c>
      <c r="D59" s="67">
        <f t="shared" si="1"/>
        <v>0</v>
      </c>
      <c r="E59" s="33"/>
      <c r="F59" s="34"/>
      <c r="G59" s="34"/>
      <c r="H59" s="33"/>
      <c r="I59" s="34"/>
      <c r="J59" s="34"/>
      <c r="K59" s="33"/>
      <c r="L59" s="34"/>
      <c r="M59" s="34"/>
      <c r="N59" s="33"/>
      <c r="O59" s="34"/>
      <c r="P59" s="34"/>
      <c r="Q59" s="33"/>
      <c r="R59" s="34"/>
      <c r="S59" s="34"/>
      <c r="T59" s="33"/>
      <c r="U59" s="34"/>
      <c r="V59" s="34"/>
      <c r="W59" s="33"/>
      <c r="X59" s="34"/>
      <c r="Y59" s="34"/>
      <c r="Z59" s="33"/>
      <c r="AA59" s="34"/>
      <c r="AB59" s="34"/>
      <c r="AC59" s="33"/>
      <c r="AD59" s="34"/>
      <c r="AE59" s="34"/>
      <c r="AF59" s="33"/>
      <c r="AG59" s="34"/>
      <c r="AH59" s="34"/>
      <c r="AI59" s="33"/>
      <c r="AJ59" s="34"/>
      <c r="AK59" s="34"/>
      <c r="AL59" s="33"/>
      <c r="AM59" s="34"/>
      <c r="AN59" s="34"/>
      <c r="AO59" s="33"/>
      <c r="AP59" s="34"/>
      <c r="AQ59" s="34"/>
      <c r="AT59" s="97" t="str">
        <f t="array" ref="AT59">"A4:B"&amp;(COUNTA(Tabla1[Tienda])+4)</f>
        <v>A4:B26</v>
      </c>
      <c r="AU59" s="97" t="str">
        <f>"C1:AQ"&amp;(COUNTA(Tabla1[Tienda])+4)</f>
        <v>C1:AQ26</v>
      </c>
      <c r="AV59" s="97" t="str">
        <f>"C1:AQ"&amp;(COUNTA(Tabla1[Tienda])+4+SUM(AW57:AW73))</f>
        <v>C1:AQ26</v>
      </c>
      <c r="AW59" s="97">
        <f t="shared" si="2"/>
        <v>0</v>
      </c>
    </row>
    <row r="60" spans="1:49" s="97" customFormat="1" ht="45" customHeight="1" x14ac:dyDescent="0.25">
      <c r="A60" s="40">
        <f>'PEGAR ACA'!H54</f>
        <v>0</v>
      </c>
      <c r="B60" s="40">
        <f>'PEGAR ACA'!J54</f>
        <v>0</v>
      </c>
      <c r="C60" s="32">
        <f t="shared" si="0"/>
        <v>0</v>
      </c>
      <c r="D60" s="67">
        <f t="shared" si="1"/>
        <v>0</v>
      </c>
      <c r="E60" s="33"/>
      <c r="F60" s="34"/>
      <c r="G60" s="34"/>
      <c r="H60" s="33"/>
      <c r="I60" s="34"/>
      <c r="J60" s="34"/>
      <c r="K60" s="33"/>
      <c r="L60" s="34"/>
      <c r="M60" s="34"/>
      <c r="N60" s="33"/>
      <c r="O60" s="34"/>
      <c r="P60" s="34"/>
      <c r="Q60" s="33"/>
      <c r="R60" s="34"/>
      <c r="S60" s="34"/>
      <c r="T60" s="33"/>
      <c r="U60" s="34"/>
      <c r="V60" s="34"/>
      <c r="W60" s="33"/>
      <c r="X60" s="34"/>
      <c r="Y60" s="34"/>
      <c r="Z60" s="33"/>
      <c r="AA60" s="34"/>
      <c r="AB60" s="34"/>
      <c r="AC60" s="33"/>
      <c r="AD60" s="34"/>
      <c r="AE60" s="34"/>
      <c r="AF60" s="33"/>
      <c r="AG60" s="34"/>
      <c r="AH60" s="34"/>
      <c r="AI60" s="33"/>
      <c r="AJ60" s="34"/>
      <c r="AK60" s="34"/>
      <c r="AL60" s="33"/>
      <c r="AM60" s="34"/>
      <c r="AN60" s="34"/>
      <c r="AO60" s="33"/>
      <c r="AP60" s="34"/>
      <c r="AQ60" s="34"/>
      <c r="AV60" s="97" t="str">
        <f>"C5:AQ"&amp;(COUNTA(Tabla1[Tienda])+4+SUM(AW6:AW73))</f>
        <v>C5:AQ29</v>
      </c>
      <c r="AW60" s="97">
        <f t="shared" si="2"/>
        <v>0</v>
      </c>
    </row>
    <row r="61" spans="1:49" s="97" customFormat="1" ht="45" customHeight="1" x14ac:dyDescent="0.25">
      <c r="A61" s="40">
        <f>'PEGAR ACA'!H55</f>
        <v>0</v>
      </c>
      <c r="B61" s="40">
        <f>'PEGAR ACA'!J55</f>
        <v>0</v>
      </c>
      <c r="C61" s="32">
        <f t="shared" si="0"/>
        <v>0</v>
      </c>
      <c r="D61" s="67">
        <f t="shared" si="1"/>
        <v>0</v>
      </c>
      <c r="E61" s="33"/>
      <c r="F61" s="34"/>
      <c r="G61" s="34"/>
      <c r="H61" s="33"/>
      <c r="I61" s="34"/>
      <c r="J61" s="34"/>
      <c r="K61" s="33"/>
      <c r="L61" s="34"/>
      <c r="M61" s="34"/>
      <c r="N61" s="33"/>
      <c r="O61" s="34"/>
      <c r="P61" s="34"/>
      <c r="Q61" s="33"/>
      <c r="R61" s="34"/>
      <c r="S61" s="34"/>
      <c r="T61" s="33"/>
      <c r="U61" s="34"/>
      <c r="V61" s="34"/>
      <c r="W61" s="33"/>
      <c r="X61" s="34"/>
      <c r="Y61" s="34"/>
      <c r="Z61" s="33"/>
      <c r="AA61" s="34"/>
      <c r="AB61" s="34"/>
      <c r="AC61" s="33"/>
      <c r="AD61" s="34"/>
      <c r="AE61" s="34"/>
      <c r="AF61" s="33"/>
      <c r="AG61" s="34"/>
      <c r="AH61" s="34"/>
      <c r="AI61" s="33"/>
      <c r="AJ61" s="34"/>
      <c r="AK61" s="34"/>
      <c r="AL61" s="33"/>
      <c r="AM61" s="34"/>
      <c r="AN61" s="34"/>
      <c r="AO61" s="33"/>
      <c r="AP61" s="34"/>
      <c r="AQ61" s="34"/>
      <c r="AW61" s="97">
        <f t="shared" si="2"/>
        <v>0</v>
      </c>
    </row>
    <row r="62" spans="1:49" s="97" customFormat="1" ht="45" customHeight="1" x14ac:dyDescent="0.25">
      <c r="A62" s="40">
        <f>'PEGAR ACA'!H56</f>
        <v>0</v>
      </c>
      <c r="B62" s="40">
        <f>'PEGAR ACA'!J56</f>
        <v>0</v>
      </c>
      <c r="C62" s="32">
        <f t="shared" si="0"/>
        <v>0</v>
      </c>
      <c r="D62" s="67">
        <f t="shared" si="1"/>
        <v>0</v>
      </c>
      <c r="E62" s="33"/>
      <c r="F62" s="34"/>
      <c r="G62" s="34"/>
      <c r="H62" s="33"/>
      <c r="I62" s="34"/>
      <c r="J62" s="34"/>
      <c r="K62" s="33"/>
      <c r="L62" s="34"/>
      <c r="M62" s="34"/>
      <c r="N62" s="33"/>
      <c r="O62" s="34"/>
      <c r="P62" s="34"/>
      <c r="Q62" s="33"/>
      <c r="R62" s="34"/>
      <c r="S62" s="34"/>
      <c r="T62" s="33"/>
      <c r="U62" s="34"/>
      <c r="V62" s="34"/>
      <c r="W62" s="33"/>
      <c r="X62" s="34"/>
      <c r="Y62" s="34"/>
      <c r="Z62" s="33"/>
      <c r="AA62" s="34"/>
      <c r="AB62" s="34"/>
      <c r="AC62" s="33"/>
      <c r="AD62" s="34"/>
      <c r="AE62" s="34"/>
      <c r="AF62" s="33"/>
      <c r="AG62" s="34"/>
      <c r="AH62" s="34"/>
      <c r="AI62" s="33"/>
      <c r="AJ62" s="34"/>
      <c r="AK62" s="34"/>
      <c r="AL62" s="33"/>
      <c r="AM62" s="34"/>
      <c r="AN62" s="34"/>
      <c r="AO62" s="33"/>
      <c r="AP62" s="34"/>
      <c r="AQ62" s="34"/>
      <c r="AW62" s="97">
        <f t="shared" si="2"/>
        <v>0</v>
      </c>
    </row>
    <row r="63" spans="1:49" s="97" customFormat="1" ht="45" customHeight="1" x14ac:dyDescent="0.25">
      <c r="A63" s="40">
        <f>'PEGAR ACA'!H57</f>
        <v>0</v>
      </c>
      <c r="B63" s="40">
        <f>'PEGAR ACA'!J57</f>
        <v>0</v>
      </c>
      <c r="C63" s="32">
        <f t="shared" si="0"/>
        <v>0</v>
      </c>
      <c r="D63" s="67">
        <f t="shared" si="1"/>
        <v>0</v>
      </c>
      <c r="E63" s="33"/>
      <c r="F63" s="34"/>
      <c r="G63" s="34"/>
      <c r="H63" s="33"/>
      <c r="I63" s="34"/>
      <c r="J63" s="34"/>
      <c r="K63" s="33"/>
      <c r="L63" s="34"/>
      <c r="M63" s="34"/>
      <c r="N63" s="33"/>
      <c r="O63" s="34"/>
      <c r="P63" s="34"/>
      <c r="Q63" s="33"/>
      <c r="R63" s="34"/>
      <c r="S63" s="34"/>
      <c r="T63" s="33"/>
      <c r="U63" s="34"/>
      <c r="V63" s="34"/>
      <c r="W63" s="33"/>
      <c r="X63" s="34"/>
      <c r="Y63" s="34"/>
      <c r="Z63" s="33"/>
      <c r="AA63" s="34"/>
      <c r="AB63" s="34"/>
      <c r="AC63" s="33"/>
      <c r="AD63" s="34"/>
      <c r="AE63" s="34"/>
      <c r="AF63" s="33"/>
      <c r="AG63" s="34"/>
      <c r="AH63" s="34"/>
      <c r="AI63" s="33"/>
      <c r="AJ63" s="34"/>
      <c r="AK63" s="34"/>
      <c r="AL63" s="33"/>
      <c r="AM63" s="34"/>
      <c r="AN63" s="34"/>
      <c r="AO63" s="33"/>
      <c r="AP63" s="34"/>
      <c r="AQ63" s="34"/>
      <c r="AW63" s="97">
        <f t="shared" si="2"/>
        <v>0</v>
      </c>
    </row>
    <row r="64" spans="1:49" s="97" customFormat="1" ht="45" customHeight="1" x14ac:dyDescent="0.25">
      <c r="A64" s="40">
        <f>'PEGAR ACA'!H58</f>
        <v>0</v>
      </c>
      <c r="B64" s="40">
        <f>'PEGAR ACA'!J58</f>
        <v>0</v>
      </c>
      <c r="C64" s="32">
        <f t="shared" si="0"/>
        <v>0</v>
      </c>
      <c r="D64" s="67">
        <f t="shared" si="1"/>
        <v>0</v>
      </c>
      <c r="E64" s="33"/>
      <c r="F64" s="34"/>
      <c r="G64" s="34"/>
      <c r="H64" s="33"/>
      <c r="I64" s="34"/>
      <c r="J64" s="34"/>
      <c r="K64" s="33"/>
      <c r="L64" s="34"/>
      <c r="M64" s="34"/>
      <c r="N64" s="33"/>
      <c r="O64" s="34"/>
      <c r="P64" s="34"/>
      <c r="Q64" s="33"/>
      <c r="R64" s="34"/>
      <c r="S64" s="34"/>
      <c r="T64" s="33"/>
      <c r="U64" s="34"/>
      <c r="V64" s="34"/>
      <c r="W64" s="33"/>
      <c r="X64" s="34"/>
      <c r="Y64" s="34"/>
      <c r="Z64" s="33"/>
      <c r="AA64" s="34"/>
      <c r="AB64" s="34"/>
      <c r="AC64" s="33"/>
      <c r="AD64" s="34"/>
      <c r="AE64" s="34"/>
      <c r="AF64" s="33"/>
      <c r="AG64" s="34"/>
      <c r="AH64" s="34"/>
      <c r="AI64" s="33"/>
      <c r="AJ64" s="34"/>
      <c r="AK64" s="34"/>
      <c r="AL64" s="33"/>
      <c r="AM64" s="34"/>
      <c r="AN64" s="34"/>
      <c r="AO64" s="33"/>
      <c r="AP64" s="34"/>
      <c r="AQ64" s="34"/>
      <c r="AW64" s="97">
        <f t="shared" si="2"/>
        <v>0</v>
      </c>
    </row>
    <row r="65" spans="1:49" s="97" customFormat="1" ht="45" customHeight="1" x14ac:dyDescent="0.25">
      <c r="A65" s="40">
        <f>'PEGAR ACA'!H59</f>
        <v>0</v>
      </c>
      <c r="B65" s="40">
        <f>'PEGAR ACA'!J59</f>
        <v>0</v>
      </c>
      <c r="C65" s="32">
        <f t="shared" si="0"/>
        <v>0</v>
      </c>
      <c r="D65" s="67">
        <f t="shared" si="1"/>
        <v>0</v>
      </c>
      <c r="E65" s="33"/>
      <c r="F65" s="34"/>
      <c r="G65" s="34"/>
      <c r="H65" s="33"/>
      <c r="I65" s="34"/>
      <c r="J65" s="34"/>
      <c r="K65" s="33"/>
      <c r="L65" s="34"/>
      <c r="M65" s="34"/>
      <c r="N65" s="33"/>
      <c r="O65" s="34"/>
      <c r="P65" s="34"/>
      <c r="Q65" s="33"/>
      <c r="R65" s="34"/>
      <c r="S65" s="34"/>
      <c r="T65" s="33"/>
      <c r="U65" s="34"/>
      <c r="V65" s="34"/>
      <c r="W65" s="33"/>
      <c r="X65" s="34"/>
      <c r="Y65" s="34"/>
      <c r="Z65" s="33"/>
      <c r="AA65" s="34"/>
      <c r="AB65" s="34"/>
      <c r="AC65" s="33"/>
      <c r="AD65" s="34"/>
      <c r="AE65" s="34"/>
      <c r="AF65" s="33"/>
      <c r="AG65" s="34"/>
      <c r="AH65" s="34"/>
      <c r="AI65" s="33"/>
      <c r="AJ65" s="34"/>
      <c r="AK65" s="34"/>
      <c r="AL65" s="33"/>
      <c r="AM65" s="34"/>
      <c r="AN65" s="34"/>
      <c r="AO65" s="33"/>
      <c r="AP65" s="34"/>
      <c r="AQ65" s="34"/>
      <c r="AW65" s="97">
        <f t="shared" si="2"/>
        <v>0</v>
      </c>
    </row>
    <row r="66" spans="1:49" s="97" customFormat="1" ht="45" customHeight="1" x14ac:dyDescent="0.25">
      <c r="A66" s="40">
        <f>'PEGAR ACA'!H60</f>
        <v>0</v>
      </c>
      <c r="B66" s="40">
        <f>'PEGAR ACA'!J60</f>
        <v>0</v>
      </c>
      <c r="C66" s="32">
        <f t="shared" si="0"/>
        <v>0</v>
      </c>
      <c r="D66" s="67">
        <f t="shared" si="1"/>
        <v>0</v>
      </c>
      <c r="E66" s="33"/>
      <c r="F66" s="34"/>
      <c r="G66" s="34"/>
      <c r="H66" s="33"/>
      <c r="I66" s="34"/>
      <c r="J66" s="34"/>
      <c r="K66" s="33"/>
      <c r="L66" s="34"/>
      <c r="M66" s="34"/>
      <c r="N66" s="33"/>
      <c r="O66" s="34"/>
      <c r="P66" s="34"/>
      <c r="Q66" s="33"/>
      <c r="R66" s="34"/>
      <c r="S66" s="34"/>
      <c r="T66" s="33"/>
      <c r="U66" s="34"/>
      <c r="V66" s="34"/>
      <c r="W66" s="33"/>
      <c r="X66" s="34"/>
      <c r="Y66" s="34"/>
      <c r="Z66" s="33"/>
      <c r="AA66" s="34"/>
      <c r="AB66" s="34"/>
      <c r="AC66" s="33"/>
      <c r="AD66" s="34"/>
      <c r="AE66" s="34"/>
      <c r="AF66" s="33"/>
      <c r="AG66" s="34"/>
      <c r="AH66" s="34"/>
      <c r="AI66" s="33"/>
      <c r="AJ66" s="34"/>
      <c r="AK66" s="34"/>
      <c r="AL66" s="33"/>
      <c r="AM66" s="34"/>
      <c r="AN66" s="34"/>
      <c r="AO66" s="33"/>
      <c r="AP66" s="34"/>
      <c r="AQ66" s="34"/>
      <c r="AW66" s="97">
        <f t="shared" si="2"/>
        <v>0</v>
      </c>
    </row>
    <row r="67" spans="1:49" s="97" customFormat="1" ht="45" customHeight="1" x14ac:dyDescent="0.25">
      <c r="A67" s="40">
        <f>'PEGAR ACA'!H61</f>
        <v>0</v>
      </c>
      <c r="B67" s="40">
        <f>'PEGAR ACA'!J61</f>
        <v>0</v>
      </c>
      <c r="C67" s="32">
        <f t="shared" si="0"/>
        <v>0</v>
      </c>
      <c r="D67" s="67">
        <f t="shared" si="1"/>
        <v>0</v>
      </c>
      <c r="E67" s="33"/>
      <c r="F67" s="34"/>
      <c r="G67" s="34"/>
      <c r="H67" s="33"/>
      <c r="I67" s="34"/>
      <c r="J67" s="34"/>
      <c r="K67" s="33"/>
      <c r="L67" s="34"/>
      <c r="M67" s="34"/>
      <c r="N67" s="33"/>
      <c r="O67" s="34"/>
      <c r="P67" s="34"/>
      <c r="Q67" s="33"/>
      <c r="R67" s="34"/>
      <c r="S67" s="34"/>
      <c r="T67" s="33"/>
      <c r="U67" s="34"/>
      <c r="V67" s="34"/>
      <c r="W67" s="33"/>
      <c r="X67" s="34"/>
      <c r="Y67" s="34"/>
      <c r="Z67" s="33"/>
      <c r="AA67" s="34"/>
      <c r="AB67" s="34"/>
      <c r="AC67" s="33"/>
      <c r="AD67" s="34"/>
      <c r="AE67" s="34"/>
      <c r="AF67" s="33"/>
      <c r="AG67" s="34"/>
      <c r="AH67" s="34"/>
      <c r="AI67" s="33"/>
      <c r="AJ67" s="34"/>
      <c r="AK67" s="34"/>
      <c r="AL67" s="33"/>
      <c r="AM67" s="34"/>
      <c r="AN67" s="34"/>
      <c r="AO67" s="33"/>
      <c r="AP67" s="34"/>
      <c r="AQ67" s="34"/>
      <c r="AW67" s="97">
        <f t="shared" si="2"/>
        <v>0</v>
      </c>
    </row>
    <row r="68" spans="1:49" s="97" customFormat="1" ht="45" customHeight="1" x14ac:dyDescent="0.25">
      <c r="A68" s="40">
        <f>'PEGAR ACA'!H62</f>
        <v>0</v>
      </c>
      <c r="B68" s="40">
        <f>'PEGAR ACA'!J62</f>
        <v>0</v>
      </c>
      <c r="C68" s="32">
        <f t="shared" si="0"/>
        <v>0</v>
      </c>
      <c r="D68" s="67">
        <f t="shared" si="1"/>
        <v>0</v>
      </c>
      <c r="E68" s="33"/>
      <c r="F68" s="34"/>
      <c r="G68" s="34"/>
      <c r="H68" s="33"/>
      <c r="I68" s="34"/>
      <c r="J68" s="34"/>
      <c r="K68" s="33"/>
      <c r="L68" s="34"/>
      <c r="M68" s="34"/>
      <c r="N68" s="33"/>
      <c r="O68" s="34"/>
      <c r="P68" s="34"/>
      <c r="Q68" s="33"/>
      <c r="R68" s="34"/>
      <c r="S68" s="34"/>
      <c r="T68" s="33"/>
      <c r="U68" s="34"/>
      <c r="V68" s="34"/>
      <c r="W68" s="33"/>
      <c r="X68" s="34"/>
      <c r="Y68" s="34"/>
      <c r="Z68" s="33"/>
      <c r="AA68" s="34"/>
      <c r="AB68" s="34"/>
      <c r="AC68" s="33"/>
      <c r="AD68" s="34"/>
      <c r="AE68" s="34"/>
      <c r="AF68" s="33"/>
      <c r="AG68" s="34"/>
      <c r="AH68" s="34"/>
      <c r="AI68" s="33"/>
      <c r="AJ68" s="34"/>
      <c r="AK68" s="34"/>
      <c r="AL68" s="33"/>
      <c r="AM68" s="34"/>
      <c r="AN68" s="34"/>
      <c r="AO68" s="33"/>
      <c r="AP68" s="34"/>
      <c r="AQ68" s="34"/>
      <c r="AW68" s="97">
        <f t="shared" si="2"/>
        <v>0</v>
      </c>
    </row>
    <row r="69" spans="1:49" s="97" customFormat="1" ht="45" customHeight="1" x14ac:dyDescent="0.25">
      <c r="A69" s="40">
        <f>'PEGAR ACA'!H63</f>
        <v>0</v>
      </c>
      <c r="B69" s="40">
        <f>'PEGAR ACA'!J63</f>
        <v>0</v>
      </c>
      <c r="C69" s="32">
        <f t="shared" si="0"/>
        <v>0</v>
      </c>
      <c r="D69" s="67">
        <f t="shared" si="1"/>
        <v>0</v>
      </c>
      <c r="E69" s="33"/>
      <c r="F69" s="34"/>
      <c r="G69" s="34"/>
      <c r="H69" s="33"/>
      <c r="I69" s="34"/>
      <c r="J69" s="34"/>
      <c r="K69" s="33"/>
      <c r="L69" s="34"/>
      <c r="M69" s="34"/>
      <c r="N69" s="33"/>
      <c r="O69" s="34"/>
      <c r="P69" s="34"/>
      <c r="Q69" s="33"/>
      <c r="R69" s="34"/>
      <c r="S69" s="34"/>
      <c r="T69" s="33"/>
      <c r="U69" s="34"/>
      <c r="V69" s="34"/>
      <c r="W69" s="33"/>
      <c r="X69" s="34"/>
      <c r="Y69" s="34"/>
      <c r="Z69" s="33"/>
      <c r="AA69" s="34"/>
      <c r="AB69" s="34"/>
      <c r="AC69" s="33"/>
      <c r="AD69" s="34"/>
      <c r="AE69" s="34"/>
      <c r="AF69" s="33"/>
      <c r="AG69" s="34"/>
      <c r="AH69" s="34"/>
      <c r="AI69" s="33"/>
      <c r="AJ69" s="34"/>
      <c r="AK69" s="34"/>
      <c r="AL69" s="33"/>
      <c r="AM69" s="34"/>
      <c r="AN69" s="34"/>
      <c r="AO69" s="33"/>
      <c r="AP69" s="34"/>
      <c r="AQ69" s="34"/>
      <c r="AW69" s="97">
        <f t="shared" si="2"/>
        <v>0</v>
      </c>
    </row>
    <row r="70" spans="1:49" s="97" customFormat="1" ht="45" customHeight="1" x14ac:dyDescent="0.25">
      <c r="A70" s="40">
        <f>'PEGAR ACA'!H64</f>
        <v>0</v>
      </c>
      <c r="B70" s="40">
        <f>'PEGAR ACA'!J64</f>
        <v>0</v>
      </c>
      <c r="C70" s="32">
        <f t="shared" ref="C70:C73" si="3">A70</f>
        <v>0</v>
      </c>
      <c r="D70" s="67">
        <f t="shared" ref="D70:D73" si="4">B70</f>
        <v>0</v>
      </c>
      <c r="E70" s="33"/>
      <c r="F70" s="34"/>
      <c r="G70" s="34"/>
      <c r="H70" s="33"/>
      <c r="I70" s="34"/>
      <c r="J70" s="34"/>
      <c r="K70" s="33"/>
      <c r="L70" s="34"/>
      <c r="M70" s="34"/>
      <c r="N70" s="33"/>
      <c r="O70" s="34"/>
      <c r="P70" s="34"/>
      <c r="Q70" s="33"/>
      <c r="R70" s="34"/>
      <c r="S70" s="34"/>
      <c r="T70" s="33"/>
      <c r="U70" s="34"/>
      <c r="V70" s="34"/>
      <c r="W70" s="33"/>
      <c r="X70" s="34"/>
      <c r="Y70" s="34"/>
      <c r="Z70" s="33"/>
      <c r="AA70" s="34"/>
      <c r="AB70" s="34"/>
      <c r="AC70" s="33"/>
      <c r="AD70" s="34"/>
      <c r="AE70" s="34"/>
      <c r="AF70" s="33"/>
      <c r="AG70" s="34"/>
      <c r="AH70" s="34"/>
      <c r="AI70" s="33"/>
      <c r="AJ70" s="34"/>
      <c r="AK70" s="34"/>
      <c r="AL70" s="33"/>
      <c r="AM70" s="34"/>
      <c r="AN70" s="34"/>
      <c r="AO70" s="33"/>
      <c r="AP70" s="34"/>
      <c r="AQ70" s="34"/>
      <c r="AW70" s="97">
        <f t="shared" si="2"/>
        <v>0</v>
      </c>
    </row>
    <row r="71" spans="1:49" s="97" customFormat="1" ht="45" customHeight="1" x14ac:dyDescent="0.25">
      <c r="A71" s="40">
        <f>'PEGAR ACA'!H65</f>
        <v>0</v>
      </c>
      <c r="B71" s="40">
        <f>'PEGAR ACA'!J65</f>
        <v>0</v>
      </c>
      <c r="C71" s="32">
        <f t="shared" si="3"/>
        <v>0</v>
      </c>
      <c r="D71" s="67">
        <f t="shared" si="4"/>
        <v>0</v>
      </c>
      <c r="E71" s="33"/>
      <c r="F71" s="34"/>
      <c r="G71" s="34"/>
      <c r="H71" s="33"/>
      <c r="I71" s="34"/>
      <c r="J71" s="34"/>
      <c r="K71" s="33"/>
      <c r="L71" s="34"/>
      <c r="M71" s="34"/>
      <c r="N71" s="33"/>
      <c r="O71" s="34"/>
      <c r="P71" s="34"/>
      <c r="Q71" s="33"/>
      <c r="R71" s="34"/>
      <c r="S71" s="34"/>
      <c r="T71" s="33"/>
      <c r="U71" s="34"/>
      <c r="V71" s="34"/>
      <c r="W71" s="33"/>
      <c r="X71" s="34"/>
      <c r="Y71" s="34"/>
      <c r="Z71" s="33"/>
      <c r="AA71" s="34"/>
      <c r="AB71" s="34"/>
      <c r="AC71" s="33"/>
      <c r="AD71" s="34"/>
      <c r="AE71" s="34"/>
      <c r="AF71" s="33"/>
      <c r="AG71" s="34"/>
      <c r="AH71" s="34"/>
      <c r="AI71" s="33"/>
      <c r="AJ71" s="34"/>
      <c r="AK71" s="34"/>
      <c r="AL71" s="33"/>
      <c r="AM71" s="34"/>
      <c r="AN71" s="34"/>
      <c r="AO71" s="33"/>
      <c r="AP71" s="34"/>
      <c r="AQ71" s="34"/>
      <c r="AW71" s="97">
        <f t="shared" si="2"/>
        <v>0</v>
      </c>
    </row>
    <row r="72" spans="1:49" s="97" customFormat="1" ht="45" customHeight="1" x14ac:dyDescent="0.25">
      <c r="A72" s="40">
        <f>'PEGAR ACA'!H66</f>
        <v>0</v>
      </c>
      <c r="B72" s="40">
        <f>'PEGAR ACA'!J66</f>
        <v>0</v>
      </c>
      <c r="C72" s="32">
        <f t="shared" si="3"/>
        <v>0</v>
      </c>
      <c r="D72" s="67">
        <f t="shared" si="4"/>
        <v>0</v>
      </c>
      <c r="E72" s="33"/>
      <c r="F72" s="34"/>
      <c r="G72" s="34"/>
      <c r="H72" s="33"/>
      <c r="I72" s="34"/>
      <c r="J72" s="34"/>
      <c r="K72" s="33"/>
      <c r="L72" s="34"/>
      <c r="M72" s="34"/>
      <c r="N72" s="33"/>
      <c r="O72" s="34"/>
      <c r="P72" s="34"/>
      <c r="Q72" s="33"/>
      <c r="R72" s="34"/>
      <c r="S72" s="34"/>
      <c r="T72" s="33"/>
      <c r="U72" s="34"/>
      <c r="V72" s="34"/>
      <c r="W72" s="33"/>
      <c r="X72" s="34"/>
      <c r="Y72" s="34"/>
      <c r="Z72" s="33"/>
      <c r="AA72" s="34"/>
      <c r="AB72" s="34"/>
      <c r="AC72" s="33"/>
      <c r="AD72" s="34"/>
      <c r="AE72" s="34"/>
      <c r="AF72" s="33"/>
      <c r="AG72" s="34"/>
      <c r="AH72" s="34"/>
      <c r="AI72" s="33"/>
      <c r="AJ72" s="34"/>
      <c r="AK72" s="34"/>
      <c r="AL72" s="33"/>
      <c r="AM72" s="34"/>
      <c r="AN72" s="34"/>
      <c r="AO72" s="33"/>
      <c r="AP72" s="34"/>
      <c r="AQ72" s="34"/>
      <c r="AW72" s="97">
        <f t="shared" si="2"/>
        <v>0</v>
      </c>
    </row>
    <row r="73" spans="1:49" s="97" customFormat="1" ht="45" customHeight="1" x14ac:dyDescent="0.25">
      <c r="A73" s="40">
        <f>'PEGAR ACA'!H67</f>
        <v>0</v>
      </c>
      <c r="B73" s="40">
        <f>'PEGAR ACA'!J67</f>
        <v>0</v>
      </c>
      <c r="C73" s="32">
        <f t="shared" si="3"/>
        <v>0</v>
      </c>
      <c r="D73" s="67">
        <f t="shared" si="4"/>
        <v>0</v>
      </c>
      <c r="E73" s="33"/>
      <c r="F73" s="34"/>
      <c r="G73" s="34"/>
      <c r="H73" s="33"/>
      <c r="I73" s="34"/>
      <c r="J73" s="34"/>
      <c r="K73" s="33"/>
      <c r="L73" s="34"/>
      <c r="M73" s="34"/>
      <c r="N73" s="33"/>
      <c r="O73" s="34"/>
      <c r="P73" s="34"/>
      <c r="Q73" s="33"/>
      <c r="R73" s="34"/>
      <c r="S73" s="34"/>
      <c r="T73" s="33"/>
      <c r="U73" s="34"/>
      <c r="V73" s="34"/>
      <c r="W73" s="33"/>
      <c r="X73" s="34"/>
      <c r="Y73" s="34"/>
      <c r="Z73" s="33"/>
      <c r="AA73" s="34"/>
      <c r="AB73" s="34"/>
      <c r="AC73" s="33"/>
      <c r="AD73" s="34"/>
      <c r="AE73" s="34"/>
      <c r="AF73" s="33"/>
      <c r="AG73" s="34"/>
      <c r="AH73" s="34"/>
      <c r="AI73" s="33"/>
      <c r="AJ73" s="34"/>
      <c r="AK73" s="34"/>
      <c r="AL73" s="33"/>
      <c r="AM73" s="34"/>
      <c r="AN73" s="34"/>
      <c r="AO73" s="33"/>
      <c r="AP73" s="34"/>
      <c r="AQ73" s="34"/>
      <c r="AW73" s="97">
        <f t="shared" ref="AW73" si="5">ROUNDDOWN((D73-1)/13,0)</f>
        <v>0</v>
      </c>
    </row>
  </sheetData>
  <mergeCells count="25">
    <mergeCell ref="N3:P3"/>
    <mergeCell ref="D25:D26"/>
    <mergeCell ref="C25:C26"/>
    <mergeCell ref="D19:D20"/>
    <mergeCell ref="C19:C20"/>
    <mergeCell ref="D17:D18"/>
    <mergeCell ref="C17:C18"/>
    <mergeCell ref="N2:Y2"/>
    <mergeCell ref="K3:M3"/>
    <mergeCell ref="T3:V3"/>
    <mergeCell ref="Q3:S3"/>
    <mergeCell ref="C1:AQ1"/>
    <mergeCell ref="AO3:AQ3"/>
    <mergeCell ref="D3:D4"/>
    <mergeCell ref="D2:M2"/>
    <mergeCell ref="Z2:AQ2"/>
    <mergeCell ref="W3:Y3"/>
    <mergeCell ref="Z3:AB3"/>
    <mergeCell ref="AC3:AE3"/>
    <mergeCell ref="AF3:AH3"/>
    <mergeCell ref="AI3:AK3"/>
    <mergeCell ref="AL3:AN3"/>
    <mergeCell ref="C3:C4"/>
    <mergeCell ref="H3:J3"/>
    <mergeCell ref="E3:G3"/>
  </mergeCells>
  <dataValidations count="1">
    <dataValidation type="list" allowBlank="1" showInputMessage="1" showErrorMessage="1" sqref="D2:M2" xr:uid="{00000000-0002-0000-0000-000000000000}">
      <formula1>AUDITOR</formula1>
    </dataValidation>
  </dataValidations>
  <pageMargins left="0.19685039370078741" right="0.19685039370078741" top="0.27559055118110237" bottom="0.19685039370078741" header="0.31496062992125984" footer="0.19685039370078741"/>
  <pageSetup scale="5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44" r:id="rId4" name="ComboBox1">
          <controlPr defaultSize="0" print="0" autoLine="0" linkedCell="D2" listFillRange="Hoja2!L2:L9" r:id="rId5">
            <anchor>
              <from>
                <xdr:col>28</xdr:col>
                <xdr:colOff>104775</xdr:colOff>
                <xdr:row>1</xdr:row>
                <xdr:rowOff>0</xdr:rowOff>
              </from>
              <to>
                <xdr:col>39</xdr:col>
                <xdr:colOff>314325</xdr:colOff>
                <xdr:row>2</xdr:row>
                <xdr:rowOff>114300</xdr:rowOff>
              </to>
            </anchor>
          </controlPr>
        </control>
      </mc:Choice>
      <mc:Fallback>
        <control shapeId="1044" r:id="rId4" name="ComboBox1"/>
      </mc:Fallback>
    </mc:AlternateContent>
    <mc:AlternateContent xmlns:mc="http://schemas.openxmlformats.org/markup-compatibility/2006">
      <mc:Choice Requires="x14">
        <control shapeId="1030" r:id="rId6" name="Botón 6">
          <controlPr defaultSize="0" print="0" autoFill="0" autoPict="0" macro="[0]!FORMULAS">
            <anchor>
              <from>
                <xdr:col>52</xdr:col>
                <xdr:colOff>190500</xdr:colOff>
                <xdr:row>1</xdr:row>
                <xdr:rowOff>161925</xdr:rowOff>
              </from>
              <to>
                <xdr:col>53</xdr:col>
                <xdr:colOff>600075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otón 3">
          <controlPr defaultSize="0" print="0" autoFill="0" autoPict="0" macro="[0]!ALTURA_FILA">
            <anchor>
              <from>
                <xdr:col>52</xdr:col>
                <xdr:colOff>180975</xdr:colOff>
                <xdr:row>5</xdr:row>
                <xdr:rowOff>209550</xdr:rowOff>
              </from>
              <to>
                <xdr:col>53</xdr:col>
                <xdr:colOff>590550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otón 5">
          <controlPr defaultSize="0" print="0" autoFill="0" autoPict="0" macro="[0]!AREA_IMPRESION">
            <anchor>
              <from>
                <xdr:col>52</xdr:col>
                <xdr:colOff>180975</xdr:colOff>
                <xdr:row>7</xdr:row>
                <xdr:rowOff>247650</xdr:rowOff>
              </from>
              <to>
                <xdr:col>53</xdr:col>
                <xdr:colOff>590550</xdr:colOff>
                <xdr:row>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otón 9">
          <controlPr defaultSize="0" print="0" autoFill="0" autoPict="0" macro="[0]!insertar_filas">
            <anchor>
              <from>
                <xdr:col>52</xdr:col>
                <xdr:colOff>180975</xdr:colOff>
                <xdr:row>9</xdr:row>
                <xdr:rowOff>390525</xdr:rowOff>
              </from>
              <to>
                <xdr:col>53</xdr:col>
                <xdr:colOff>571500</xdr:colOff>
                <xdr:row>11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0" name="Botón 12">
          <controlPr defaultSize="0" print="0" autoFill="0" autoPict="0" macro="[0]!separadores">
            <anchor>
              <from>
                <xdr:col>52</xdr:col>
                <xdr:colOff>180975</xdr:colOff>
                <xdr:row>12</xdr:row>
                <xdr:rowOff>0</xdr:rowOff>
              </from>
              <to>
                <xdr:col>53</xdr:col>
                <xdr:colOff>581025</xdr:colOff>
                <xdr:row>13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Botón 13">
          <controlPr defaultSize="0" print="0" autoFill="0" autoPict="0" macro="[0]!MERGE">
            <anchor>
              <from>
                <xdr:col>52</xdr:col>
                <xdr:colOff>180975</xdr:colOff>
                <xdr:row>14</xdr:row>
                <xdr:rowOff>114300</xdr:rowOff>
              </from>
              <to>
                <xdr:col>53</xdr:col>
                <xdr:colOff>590550</xdr:colOff>
                <xdr:row>16</xdr:row>
                <xdr:rowOff>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O15"/>
  <sheetViews>
    <sheetView workbookViewId="0">
      <selection activeCell="P13" sqref="P13"/>
    </sheetView>
  </sheetViews>
  <sheetFormatPr baseColWidth="10" defaultRowHeight="15" x14ac:dyDescent="0.25"/>
  <cols>
    <col min="3" max="3" width="11.85546875" bestFit="1" customWidth="1"/>
  </cols>
  <sheetData>
    <row r="1" spans="1:41" x14ac:dyDescent="0.25">
      <c r="A1" s="51" t="s">
        <v>134</v>
      </c>
      <c r="B1" s="51" t="s">
        <v>135</v>
      </c>
      <c r="C1" t="s">
        <v>155</v>
      </c>
      <c r="D1" t="s">
        <v>136</v>
      </c>
      <c r="E1" t="s">
        <v>137</v>
      </c>
    </row>
    <row r="2" spans="1:41" x14ac:dyDescent="0.25">
      <c r="A2" s="51">
        <v>1</v>
      </c>
      <c r="B2" s="51" t="s">
        <v>1</v>
      </c>
      <c r="C2">
        <f>_xlfn.MAXIFS(Tabla1[Columna8],Tabla1[Columna6],Tabla27[[#This Row],[TIPO TIENDA]])</f>
        <v>191</v>
      </c>
      <c r="D2" t="str">
        <f>IFERROR(Tabla27[[#This Row],[maximo]]&amp;" "&amp;VLOOKUP(Tabla27[[#This Row],[maximo]],Tabla3[#All],2,0),"")</f>
        <v>191 BAZZAR</v>
      </c>
      <c r="E2" t="e">
        <f>INDEX('Auditoria Despacho automatico'!$C$5:$D$73,MATCH(Tabla27[[#This Row],[Columna1]],'Auditoria Despacho automatico'!C5:D73,0))</f>
        <v>#N/A</v>
      </c>
      <c r="G2" s="53">
        <f>_xlfn.MAXIFS(Tabla1[Columna8],Tabla1[Columna6],Tabla27[[#This Row],[TIPO TIENDA]])</f>
        <v>191</v>
      </c>
      <c r="H2" s="53" t="str">
        <f>IFERROR(Tabla27[[#This Row],[maximo]]&amp;" "&amp;VLOOKUP(Tabla27[[#This Row],[maximo]],Tabla3[#All],2,0),"")</f>
        <v>191 BAZZAR</v>
      </c>
      <c r="I2" t="e">
        <f>VLOOKUP(H2,Tabla27[[Columna1]:[Columna2]],2,0)</f>
        <v>#N/A</v>
      </c>
    </row>
    <row r="3" spans="1:41" x14ac:dyDescent="0.25">
      <c r="A3" s="51">
        <v>3</v>
      </c>
      <c r="B3" s="51" t="s">
        <v>2</v>
      </c>
      <c r="C3" s="51">
        <f>_xlfn.MAXIFS(Tabla1[Columna8],Tabla1[Columna6],Tabla27[[#This Row],[TIPO TIENDA]])</f>
        <v>0</v>
      </c>
      <c r="D3" t="str">
        <f>IFERROR(Tabla27[[#This Row],[maximo]]&amp;" "&amp;VLOOKUP(Tabla27[[#This Row],[maximo]],Tabla3[#All],2,0),"")</f>
        <v/>
      </c>
      <c r="E3" t="e">
        <f>INDEX('Auditoria Despacho automatico'!$C$5:$D$73,MATCH(Tabla27[[#This Row],[Columna1]],'Auditoria Despacho automatico'!C6:D73,0))</f>
        <v>#N/A</v>
      </c>
      <c r="G3" s="54">
        <f>_xlfn.MAXIFS(Tabla1[Columna8],Tabla1[Columna6],Tabla27[[#This Row],[TIPO TIENDA]])</f>
        <v>0</v>
      </c>
      <c r="H3" s="54" t="str">
        <f>IFERROR(Tabla27[[#This Row],[maximo]]&amp;" "&amp;VLOOKUP(Tabla27[[#This Row],[maximo]],Tabla3[#All],2,0),"")</f>
        <v/>
      </c>
      <c r="I3" s="55" t="e">
        <f>VLOOKUP(H3,Tabla27[[Columna1]:[Columna2]],2,0)</f>
        <v>#N/A</v>
      </c>
    </row>
    <row r="4" spans="1:41" x14ac:dyDescent="0.25">
      <c r="A4" s="51">
        <v>4</v>
      </c>
      <c r="B4" s="51" t="s">
        <v>72</v>
      </c>
      <c r="C4" s="51">
        <f>_xlfn.MAXIFS(Tabla1[Columna8],Tabla1[Columna6],Tabla27[[#This Row],[TIPO TIENDA]])</f>
        <v>0</v>
      </c>
      <c r="D4" t="str">
        <f>IFERROR(Tabla27[[#This Row],[maximo]]&amp;" "&amp;VLOOKUP(Tabla27[[#This Row],[maximo]],Tabla3[#All],2,0),"")</f>
        <v/>
      </c>
      <c r="E4" t="e">
        <f>INDEX('Auditoria Despacho automatico'!$C$5:$D$73,MATCH(Tabla27[[#This Row],[Columna1]],'Auditoria Despacho automatico'!C60:D73,0))</f>
        <v>#N/A</v>
      </c>
      <c r="G4" s="53">
        <f>_xlfn.MAXIFS(Tabla1[Columna8],Tabla1[Columna6],Tabla27[[#This Row],[TIPO TIENDA]])</f>
        <v>0</v>
      </c>
      <c r="H4" s="53" t="str">
        <f>IFERROR(Tabla27[[#This Row],[maximo]]&amp;" "&amp;VLOOKUP(Tabla27[[#This Row],[maximo]],Tabla3[#All],2,0),"")</f>
        <v/>
      </c>
      <c r="I4" s="55" t="e">
        <f>MATCH(G4,Tabla27[[Columna1]:[Columna2]],0)</f>
        <v>#N/A</v>
      </c>
    </row>
    <row r="5" spans="1:41" x14ac:dyDescent="0.25">
      <c r="A5" s="51">
        <v>5</v>
      </c>
      <c r="B5" s="51" t="s">
        <v>3</v>
      </c>
      <c r="C5" s="51">
        <f>_xlfn.MAXIFS(Tabla1[Columna8],Tabla1[Columna6],Tabla27[[#This Row],[TIPO TIENDA]])</f>
        <v>184</v>
      </c>
      <c r="D5" t="str">
        <f>IFERROR(Tabla27[[#This Row],[maximo]]&amp;" "&amp;VLOOKUP(Tabla27[[#This Row],[maximo]],Tabla3[#All],2,0),"")</f>
        <v>184 METRO MAYALES</v>
      </c>
      <c r="E5" t="e">
        <f>INDEX('Auditoria Despacho automatico'!$C$5:$D$73,MATCH(Tabla27[[#This Row],[Columna1]],'Auditoria Despacho automatico'!C67:D73,0))</f>
        <v>#N/A</v>
      </c>
      <c r="G5" s="54">
        <f>_xlfn.MAXIFS(Tabla1[Columna8],Tabla1[Columna6],Tabla27[[#This Row],[TIPO TIENDA]])</f>
        <v>184</v>
      </c>
      <c r="H5" s="54" t="str">
        <f>IFERROR(Tabla27[[#This Row],[maximo]]&amp;" "&amp;VLOOKUP(Tabla27[[#This Row],[maximo]],Tabla3[#All],2,0),"")</f>
        <v>184 METRO MAYALES</v>
      </c>
      <c r="I5" s="55" t="e">
        <f>VLOOKUP(H5,Tabla27[[Columna1]:[Columna2]],2,0)</f>
        <v>#N/A</v>
      </c>
    </row>
    <row r="6" spans="1:41" x14ac:dyDescent="0.25">
      <c r="A6" s="51">
        <v>6</v>
      </c>
      <c r="B6" s="51" t="s">
        <v>126</v>
      </c>
      <c r="C6" s="51">
        <f>_xlfn.MAXIFS(Tabla1[Columna8],Tabla1[Columna6],Tabla27[[#This Row],[TIPO TIENDA]])</f>
        <v>0</v>
      </c>
      <c r="D6" t="str">
        <f>IFERROR(Tabla27[[#This Row],[maximo]]&amp;" "&amp;VLOOKUP(Tabla27[[#This Row],[maximo]],Tabla3[#All],2,0),"")</f>
        <v/>
      </c>
      <c r="E6" t="e">
        <f>INDEX('Auditoria Despacho automatico'!$C$5:$D$73,MATCH(Tabla27[[#This Row],[Columna1]],'Auditoria Despacho automatico'!#REF!,0))</f>
        <v>#REF!</v>
      </c>
      <c r="G6" s="53">
        <f>_xlfn.MAXIFS(Tabla1[Columna8],Tabla1[Columna6],Tabla27[[#This Row],[TIPO TIENDA]])</f>
        <v>0</v>
      </c>
      <c r="H6" s="53" t="str">
        <f>IFERROR(Tabla27[[#This Row],[maximo]]&amp;" "&amp;VLOOKUP(Tabla27[[#This Row],[maximo]],Tabla3[#All],2,0),"")</f>
        <v/>
      </c>
      <c r="I6" s="55" t="e">
        <f>VLOOKUP(H6,Tabla27[[Columna1]:[Columna2]],2,0)</f>
        <v>#N/A</v>
      </c>
    </row>
    <row r="7" spans="1:41" x14ac:dyDescent="0.25">
      <c r="A7" s="51">
        <v>2</v>
      </c>
      <c r="B7" s="51" t="s">
        <v>133</v>
      </c>
      <c r="C7" s="51">
        <f>_xlfn.MAXIFS(Tabla1[Columna8],Tabla1[Columna6],Tabla27[[#This Row],[TIPO TIENDA]])</f>
        <v>0</v>
      </c>
      <c r="D7" t="str">
        <f>IFERROR(Tabla27[[#This Row],[maximo]]&amp;" "&amp;VLOOKUP(Tabla27[[#This Row],[maximo]],Tabla3[#All],2,0),"")</f>
        <v/>
      </c>
      <c r="E7" t="e">
        <f>INDEX('Auditoria Despacho automatico'!$C$5:$D$73,MATCH(Tabla27[[#This Row],[Columna1]],'Auditoria Despacho automatico'!#REF!,0))</f>
        <v>#REF!</v>
      </c>
      <c r="G7" s="54">
        <f>_xlfn.MAXIFS(Tabla1[Columna8],Tabla1[Columna6],Tabla27[[#This Row],[TIPO TIENDA]])</f>
        <v>0</v>
      </c>
      <c r="H7" s="54" t="str">
        <f>IFERROR(Tabla27[[#This Row],[maximo]]&amp;" "&amp;VLOOKUP(Tabla27[[#This Row],[maximo]],Tabla3[#All],2,0),"")</f>
        <v/>
      </c>
      <c r="I7" s="55" t="e">
        <f>VLOOKUP(H7,Tabla27[[Columna1]:[Columna2]],2,0)</f>
        <v>#N/A</v>
      </c>
    </row>
    <row r="10" spans="1:41" x14ac:dyDescent="0.25">
      <c r="F10" s="56"/>
    </row>
    <row r="13" spans="1:41" x14ac:dyDescent="0.25">
      <c r="P13" s="56"/>
    </row>
    <row r="15" spans="1:41" ht="15.75" thickBot="1" x14ac:dyDescent="0.3"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7030A0"/>
    <pageSetUpPr fitToPage="1"/>
  </sheetPr>
  <dimension ref="A1:M23"/>
  <sheetViews>
    <sheetView zoomScale="70" zoomScaleNormal="70" workbookViewId="0">
      <selection activeCell="A24" sqref="A24:XFD25"/>
    </sheetView>
  </sheetViews>
  <sheetFormatPr baseColWidth="10" defaultRowHeight="15" x14ac:dyDescent="0.25"/>
  <cols>
    <col min="1" max="1" width="14" bestFit="1" customWidth="1"/>
    <col min="2" max="2" width="22.85546875" bestFit="1" customWidth="1"/>
    <col min="3" max="3" width="15.85546875" bestFit="1" customWidth="1"/>
    <col min="4" max="4" width="15.85546875" hidden="1" customWidth="1"/>
    <col min="5" max="7" width="16.28515625" hidden="1" customWidth="1"/>
    <col min="8" max="8" width="26.42578125" bestFit="1" customWidth="1"/>
    <col min="9" max="9" width="18.5703125" bestFit="1" customWidth="1"/>
    <col min="10" max="10" width="16.28515625" bestFit="1" customWidth="1"/>
    <col min="11" max="11" width="16.28515625" hidden="1" customWidth="1"/>
    <col min="12" max="12" width="16.28515625" style="51" customWidth="1"/>
    <col min="13" max="13" width="16.7109375" hidden="1" customWidth="1"/>
  </cols>
  <sheetData>
    <row r="1" spans="1:13" x14ac:dyDescent="0.25">
      <c r="A1" s="15" t="s">
        <v>5</v>
      </c>
      <c r="B1" s="15" t="s">
        <v>124</v>
      </c>
      <c r="C1" s="15" t="s">
        <v>0</v>
      </c>
      <c r="D1" t="s">
        <v>136</v>
      </c>
      <c r="E1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154</v>
      </c>
      <c r="L1" s="51" t="s">
        <v>157</v>
      </c>
      <c r="M1" t="s">
        <v>153</v>
      </c>
    </row>
    <row r="2" spans="1:13" ht="17.25" customHeight="1" x14ac:dyDescent="0.25">
      <c r="A2" s="96">
        <v>3</v>
      </c>
      <c r="B2" s="96">
        <v>130</v>
      </c>
      <c r="C2" s="95">
        <v>3.7142857142857144</v>
      </c>
      <c r="D2">
        <f>VLOOKUP(Tabla1[[#This Row],[Tienda]],LISTA_DE_TIENDAS,5,0)</f>
        <v>1</v>
      </c>
      <c r="E2" s="13">
        <f t="array" ref="E2">VALUE(_xlfn.CONCAT(Tabla1[[#This Row],[Columna1]],(ROW(D2)-1)*0.0001))</f>
        <v>10.0001</v>
      </c>
      <c r="F2">
        <f>_xlfn.RANK.EQ(Tabla1[Columna2],Tabla1[Columna2],1)</f>
        <v>1</v>
      </c>
      <c r="G2" s="13">
        <f t="array" ref="G2">ROW(Tabla1[[#This Row],[Columna3]])-1</f>
        <v>1</v>
      </c>
      <c r="H2" s="13" t="str">
        <f>_xlfn.CONCAT(INDEX(Tabla1[Tienda],MATCH(Tabla1[Columna4],Tabla1[Columna3],0))," ",VLOOKUP(INDEX(Tabla1[Tienda],MATCH(Tabla1[Columna4],Tabla1[Columna3],0)),Tabla3[],2,0))</f>
        <v>3 BULEVAR</v>
      </c>
      <c r="I2" s="13" t="str">
        <f>VLOOKUP(INDEX(Tabla1[Tienda],MATCH(Tabla1[Columna4],Tabla1[Columna3],0)),Tabla3[],6,0)</f>
        <v>JUMBOS</v>
      </c>
      <c r="J2" s="13">
        <f>ROUND(VLOOKUP(INDEX(Tabla1[Tienda],MATCH(Tabla1[Columna4],Tabla1[Columna3],0)),Tabla1[],3,0),0)</f>
        <v>4</v>
      </c>
      <c r="K2" s="13">
        <f>INDEX(Tabla1[Tienda],MATCH(Tabla1[Columna4],Tabla1[Columna3],0))</f>
        <v>3</v>
      </c>
      <c r="L2" s="13"/>
      <c r="M2" t="str">
        <f>"A1:J"&amp;(COUNTA(Tabla1[Tienda])+1)</f>
        <v>A1:J23</v>
      </c>
    </row>
    <row r="3" spans="1:13" ht="15" customHeight="1" x14ac:dyDescent="0.25">
      <c r="A3" s="96">
        <v>11</v>
      </c>
      <c r="B3" s="96">
        <v>161</v>
      </c>
      <c r="C3" s="95">
        <v>4.5999999999999996</v>
      </c>
      <c r="D3">
        <f>VLOOKUP(Tabla1[[#This Row],[Tienda]],LISTA_DE_TIENDAS,5,0)</f>
        <v>1</v>
      </c>
      <c r="E3" s="13">
        <f t="array" ref="E3">VALUE(_xlfn.CONCAT(Tabla1[[#This Row],[Columna1]],(ROW(D3)-1)*0.0001))</f>
        <v>10.0002</v>
      </c>
      <c r="F3">
        <f>_xlfn.RANK.EQ(Tabla1[Columna2],Tabla1[Columna2],1)</f>
        <v>2</v>
      </c>
      <c r="G3" s="13">
        <f t="array" ref="G3">ROW(Tabla1[[#This Row],[Columna3]])-1</f>
        <v>2</v>
      </c>
      <c r="H3" s="13" t="str">
        <f>_xlfn.CONCAT(INDEX(Tabla1[Tienda],MATCH(Tabla1[Columna4],Tabla1[Columna3],0))," ",VLOOKUP(INDEX(Tabla1[Tienda],MATCH(Tabla1[Columna4],Tabla1[Columna3],0)),Tabla3[],2,0))</f>
        <v>11 CALLE 80</v>
      </c>
      <c r="I3" s="13" t="str">
        <f>VLOOKUP(INDEX(Tabla1[Tienda],MATCH(Tabla1[Columna4],Tabla1[Columna3],0)),Tabla3[],6,0)</f>
        <v>JUMBOS</v>
      </c>
      <c r="J3" s="13">
        <f>ROUND(VLOOKUP(INDEX(Tabla1[Tienda],MATCH(Tabla1[Columna4],Tabla1[Columna3],0)),Tabla1[],3,0),0)</f>
        <v>5</v>
      </c>
      <c r="K3" s="13">
        <f>INDEX(Tabla1[Tienda],MATCH(Tabla1[Columna4],Tabla1[Columna3],0))</f>
        <v>11</v>
      </c>
      <c r="L3" s="13"/>
    </row>
    <row r="4" spans="1:13" ht="15" customHeight="1" x14ac:dyDescent="0.25">
      <c r="A4" s="96">
        <v>14</v>
      </c>
      <c r="B4" s="96">
        <v>177</v>
      </c>
      <c r="C4" s="95">
        <v>5.0571428571428569</v>
      </c>
      <c r="D4">
        <f>VLOOKUP(Tabla1[[#This Row],[Tienda]],LISTA_DE_TIENDAS,5,0)</f>
        <v>1</v>
      </c>
      <c r="E4" s="13">
        <f t="array" ref="E4">VALUE(_xlfn.CONCAT(Tabla1[[#This Row],[Columna1]],(ROW(D4)-1)*0.0001))</f>
        <v>10.000299999999999</v>
      </c>
      <c r="F4">
        <f>_xlfn.RANK.EQ(Tabla1[Columna2],Tabla1[Columna2],1)</f>
        <v>3</v>
      </c>
      <c r="G4" s="13">
        <f t="array" ref="G4">ROW(Tabla1[[#This Row],[Columna3]])-1</f>
        <v>3</v>
      </c>
      <c r="H4" s="13" t="str">
        <f>_xlfn.CONCAT(INDEX(Tabla1[Tienda],MATCH(Tabla1[Columna4],Tabla1[Columna3],0))," ",VLOOKUP(INDEX(Tabla1[Tienda],MATCH(Tabla1[Columna4],Tabla1[Columna3],0)),Tabla3[],2,0))</f>
        <v>14 CALLE 170</v>
      </c>
      <c r="I4" s="13" t="str">
        <f>VLOOKUP(INDEX(Tabla1[Tienda],MATCH(Tabla1[Columna4],Tabla1[Columna3],0)),Tabla3[],6,0)</f>
        <v>JUMBOS</v>
      </c>
      <c r="J4" s="13">
        <f>ROUND(VLOOKUP(INDEX(Tabla1[Tienda],MATCH(Tabla1[Columna4],Tabla1[Columna3],0)),Tabla1[],3,0),0)</f>
        <v>5</v>
      </c>
      <c r="K4" s="13">
        <f>INDEX(Tabla1[Tienda],MATCH(Tabla1[Columna4],Tabla1[Columna3],0))</f>
        <v>14</v>
      </c>
      <c r="L4" s="13"/>
    </row>
    <row r="5" spans="1:13" ht="15" customHeight="1" x14ac:dyDescent="0.25">
      <c r="A5" s="96">
        <v>15</v>
      </c>
      <c r="B5" s="96">
        <v>181</v>
      </c>
      <c r="C5" s="95">
        <v>5.1714285714285717</v>
      </c>
      <c r="D5">
        <f>VLOOKUP(Tabla1[[#This Row],[Tienda]],LISTA_DE_TIENDAS,5,0)</f>
        <v>1</v>
      </c>
      <c r="E5" s="13">
        <f t="array" ref="E5">VALUE(_xlfn.CONCAT(Tabla1[[#This Row],[Columna1]],(ROW(D5)-1)*0.0001))</f>
        <v>10.000400000000001</v>
      </c>
      <c r="F5">
        <f>_xlfn.RANK.EQ(Tabla1[Columna2],Tabla1[Columna2],1)</f>
        <v>4</v>
      </c>
      <c r="G5" s="13">
        <f t="array" ref="G5">ROW(Tabla1[[#This Row],[Columna3]])-1</f>
        <v>4</v>
      </c>
      <c r="H5" s="13" t="str">
        <f>_xlfn.CONCAT(INDEX(Tabla1[Tienda],MATCH(Tabla1[Columna4],Tabla1[Columna3],0))," ",VLOOKUP(INDEX(Tabla1[Tienda],MATCH(Tabla1[Columna4],Tabla1[Columna3],0)),Tabla3[],2,0))</f>
        <v>15 HAYUELOS</v>
      </c>
      <c r="I5" s="13" t="str">
        <f>VLOOKUP(INDEX(Tabla1[Tienda],MATCH(Tabla1[Columna4],Tabla1[Columna3],0)),Tabla3[],6,0)</f>
        <v>JUMBOS</v>
      </c>
      <c r="J5" s="13">
        <f>ROUND(VLOOKUP(INDEX(Tabla1[Tienda],MATCH(Tabla1[Columna4],Tabla1[Columna3],0)),Tabla1[],3,0),0)</f>
        <v>5</v>
      </c>
      <c r="K5" s="13">
        <f>INDEX(Tabla1[Tienda],MATCH(Tabla1[Columna4],Tabla1[Columna3],0))</f>
        <v>15</v>
      </c>
      <c r="L5" s="13"/>
    </row>
    <row r="6" spans="1:13" ht="15" customHeight="1" x14ac:dyDescent="0.25">
      <c r="A6" s="96">
        <v>16</v>
      </c>
      <c r="B6" s="96">
        <v>92</v>
      </c>
      <c r="C6" s="95">
        <v>2.6285714285714286</v>
      </c>
      <c r="D6">
        <f>VLOOKUP(Tabla1[[#This Row],[Tienda]],LISTA_DE_TIENDAS,5,0)</f>
        <v>1</v>
      </c>
      <c r="E6" s="13">
        <f t="array" ref="E6">VALUE(_xlfn.CONCAT(Tabla1[[#This Row],[Columna1]],(ROW(D6)-1)*0.0001))</f>
        <v>10.000500000000001</v>
      </c>
      <c r="F6">
        <f>_xlfn.RANK.EQ(Tabla1[Columna2],Tabla1[Columna2],1)</f>
        <v>5</v>
      </c>
      <c r="G6" s="13">
        <f t="array" ref="G6">ROW(Tabla1[[#This Row],[Columna3]])-1</f>
        <v>5</v>
      </c>
      <c r="H6" s="13" t="str">
        <f>_xlfn.CONCAT(INDEX(Tabla1[Tienda],MATCH(Tabla1[Columna4],Tabla1[Columna3],0))," ",VLOOKUP(INDEX(Tabla1[Tienda],MATCH(Tabla1[Columna4],Tabla1[Columna3],0)),Tabla3[],2,0))</f>
        <v>16 CARRERA 30 BOGOTA</v>
      </c>
      <c r="I6" s="13" t="str">
        <f>VLOOKUP(INDEX(Tabla1[Tienda],MATCH(Tabla1[Columna4],Tabla1[Columna3],0)),Tabla3[],6,0)</f>
        <v>JUMBOS</v>
      </c>
      <c r="J6" s="13">
        <f>ROUND(VLOOKUP(INDEX(Tabla1[Tienda],MATCH(Tabla1[Columna4],Tabla1[Columna3],0)),Tabla1[],3,0),0)</f>
        <v>3</v>
      </c>
      <c r="K6" s="13">
        <f>INDEX(Tabla1[Tienda],MATCH(Tabla1[Columna4],Tabla1[Columna3],0))</f>
        <v>16</v>
      </c>
      <c r="L6" s="13"/>
    </row>
    <row r="7" spans="1:13" ht="15" customHeight="1" x14ac:dyDescent="0.25">
      <c r="A7" s="96">
        <v>19</v>
      </c>
      <c r="B7" s="96">
        <v>377</v>
      </c>
      <c r="C7" s="95">
        <v>10.771428571428572</v>
      </c>
      <c r="D7">
        <f>VLOOKUP(Tabla1[[#This Row],[Tienda]],LISTA_DE_TIENDAS,5,0)</f>
        <v>1</v>
      </c>
      <c r="E7" s="13">
        <f t="array" ref="E7">VALUE(_xlfn.CONCAT(Tabla1[[#This Row],[Columna1]],(ROW(D7)-1)*0.0001))</f>
        <v>10.0006</v>
      </c>
      <c r="F7">
        <f>_xlfn.RANK.EQ(Tabla1[Columna2],Tabla1[Columna2],1)</f>
        <v>6</v>
      </c>
      <c r="G7" s="13">
        <f t="array" ref="G7">ROW(Tabla1[[#This Row],[Columna3]])-1</f>
        <v>6</v>
      </c>
      <c r="H7" s="13" t="str">
        <f>_xlfn.CONCAT(INDEX(Tabla1[Tienda],MATCH(Tabla1[Columna4],Tabla1[Columna3],0))," ",VLOOKUP(INDEX(Tabla1[Tienda],MATCH(Tabla1[Columna4],Tabla1[Columna3],0)),Tabla3[],2,0))</f>
        <v>19 SANTA ANA</v>
      </c>
      <c r="I7" s="13" t="str">
        <f>VLOOKUP(INDEX(Tabla1[Tienda],MATCH(Tabla1[Columna4],Tabla1[Columna3],0)),Tabla3[],6,0)</f>
        <v>JUMBOS</v>
      </c>
      <c r="J7" s="13">
        <f>ROUND(VLOOKUP(INDEX(Tabla1[Tienda],MATCH(Tabla1[Columna4],Tabla1[Columna3],0)),Tabla1[],3,0),0)</f>
        <v>11</v>
      </c>
      <c r="K7" s="13">
        <f>INDEX(Tabla1[Tienda],MATCH(Tabla1[Columna4],Tabla1[Columna3],0))</f>
        <v>19</v>
      </c>
      <c r="L7" s="13"/>
    </row>
    <row r="8" spans="1:13" ht="15" customHeight="1" x14ac:dyDescent="0.25">
      <c r="A8" s="96">
        <v>40</v>
      </c>
      <c r="B8" s="96">
        <v>227</v>
      </c>
      <c r="C8" s="95">
        <v>6.4857142857142858</v>
      </c>
      <c r="D8" s="13">
        <f>VLOOKUP(Tabla1[[#This Row],[Tienda]],LISTA_DE_TIENDAS,5,0)</f>
        <v>5</v>
      </c>
      <c r="E8" s="13">
        <f t="array" ref="E8">VALUE(_xlfn.CONCAT(Tabla1[[#This Row],[Columna1]],(ROW(D8)-1)*0.0001))</f>
        <v>50.000700000000002</v>
      </c>
      <c r="F8" s="13">
        <f>_xlfn.RANK.EQ(Tabla1[Columna2],Tabla1[Columna2],1)</f>
        <v>12</v>
      </c>
      <c r="G8" s="13">
        <f t="array" ref="G8">ROW(Tabla1[[#This Row],[Columna3]])-1</f>
        <v>7</v>
      </c>
      <c r="H8" s="13" t="str">
        <f>_xlfn.CONCAT(INDEX(Tabla1[Tienda],MATCH(Tabla1[Columna4],Tabla1[Columna3],0))," ",VLOOKUP(INDEX(Tabla1[Tienda],MATCH(Tabla1[Columna4],Tabla1[Columna3],0)),Tabla3[],2,0))</f>
        <v>44 CHIA</v>
      </c>
      <c r="I8" s="13" t="str">
        <f>VLOOKUP(INDEX(Tabla1[Tienda],MATCH(Tabla1[Columna4],Tabla1[Columna3],0)),Tabla3[],6,0)</f>
        <v>JUMBOS</v>
      </c>
      <c r="J8" s="13">
        <f>ROUND(VLOOKUP(INDEX(Tabla1[Tienda],MATCH(Tabla1[Columna4],Tabla1[Columna3],0)),Tabla1[],3,0),0)</f>
        <v>1</v>
      </c>
      <c r="K8" s="13">
        <f>INDEX(Tabla1[Tienda],MATCH(Tabla1[Columna4],Tabla1[Columna3],0))</f>
        <v>44</v>
      </c>
      <c r="L8" s="13"/>
    </row>
    <row r="9" spans="1:13" ht="15" customHeight="1" x14ac:dyDescent="0.25">
      <c r="A9" s="96">
        <v>43</v>
      </c>
      <c r="B9" s="96">
        <v>604</v>
      </c>
      <c r="C9" s="95">
        <v>17.257142857142856</v>
      </c>
      <c r="D9" s="13">
        <f>VLOOKUP(Tabla1[[#This Row],[Tienda]],LISTA_DE_TIENDAS,5,0)</f>
        <v>5</v>
      </c>
      <c r="E9" s="13">
        <f t="array" ref="E9">VALUE(_xlfn.CONCAT(Tabla1[[#This Row],[Columna1]],(ROW(D9)-1)*0.0001))</f>
        <v>50.000799999999998</v>
      </c>
      <c r="F9" s="13">
        <f>_xlfn.RANK.EQ(Tabla1[Columna2],Tabla1[Columna2],1)</f>
        <v>13</v>
      </c>
      <c r="G9" s="13">
        <f t="array" ref="G9">ROW(Tabla1[[#This Row],[Columna3]])-1</f>
        <v>8</v>
      </c>
      <c r="H9" s="13" t="str">
        <f>_xlfn.CONCAT(INDEX(Tabla1[Tienda],MATCH(Tabla1[Columna4],Tabla1[Columna3],0))," ",VLOOKUP(INDEX(Tabla1[Tienda],MATCH(Tabla1[Columna4],Tabla1[Columna3],0)),Tabla3[],2,0))</f>
        <v>70 SUBA</v>
      </c>
      <c r="I9" s="13" t="str">
        <f>VLOOKUP(INDEX(Tabla1[Tienda],MATCH(Tabla1[Columna4],Tabla1[Columna3],0)),Tabla3[],6,0)</f>
        <v>JUMBOS</v>
      </c>
      <c r="J9" s="13">
        <f>ROUND(VLOOKUP(INDEX(Tabla1[Tienda],MATCH(Tabla1[Columna4],Tabla1[Columna3],0)),Tabla1[],3,0),0)</f>
        <v>1</v>
      </c>
      <c r="K9" s="13">
        <f>INDEX(Tabla1[Tienda],MATCH(Tabla1[Columna4],Tabla1[Columna3],0))</f>
        <v>70</v>
      </c>
      <c r="L9" s="13"/>
    </row>
    <row r="10" spans="1:13" x14ac:dyDescent="0.25">
      <c r="A10" s="96">
        <v>44</v>
      </c>
      <c r="B10" s="96">
        <v>38</v>
      </c>
      <c r="C10" s="95">
        <v>1.0857142857142856</v>
      </c>
      <c r="D10" s="13">
        <f>VLOOKUP(Tabla1[[#This Row],[Tienda]],LISTA_DE_TIENDAS,5,0)</f>
        <v>1</v>
      </c>
      <c r="E10" s="13">
        <f t="array" ref="E10">VALUE(_xlfn.CONCAT(Tabla1[[#This Row],[Columna1]],(ROW(D10)-1)*0.0001))</f>
        <v>10.0009</v>
      </c>
      <c r="F10" s="13">
        <f>_xlfn.RANK.EQ(Tabla1[Columna2],Tabla1[Columna2],1)</f>
        <v>7</v>
      </c>
      <c r="G10" s="13">
        <f t="array" ref="G10">ROW(Tabla1[[#This Row],[Columna3]])-1</f>
        <v>9</v>
      </c>
      <c r="H10" s="13" t="str">
        <f>_xlfn.CONCAT(INDEX(Tabla1[Tienda],MATCH(Tabla1[Columna4],Tabla1[Columna3],0))," ",VLOOKUP(INDEX(Tabla1[Tienda],MATCH(Tabla1[Columna4],Tabla1[Columna3],0)),Tabla3[],2,0))</f>
        <v>72 SANTA FE</v>
      </c>
      <c r="I10" s="13" t="str">
        <f>VLOOKUP(INDEX(Tabla1[Tienda],MATCH(Tabla1[Columna4],Tabla1[Columna3],0)),Tabla3[],6,0)</f>
        <v>JUMBOS</v>
      </c>
      <c r="J10" s="13">
        <f>ROUND(VLOOKUP(INDEX(Tabla1[Tienda],MATCH(Tabla1[Columna4],Tabla1[Columna3],0)),Tabla1[],3,0),0)</f>
        <v>3</v>
      </c>
      <c r="K10" s="13">
        <f>INDEX(Tabla1[Tienda],MATCH(Tabla1[Columna4],Tabla1[Columna3],0))</f>
        <v>72</v>
      </c>
      <c r="L10" s="13"/>
    </row>
    <row r="11" spans="1:13" x14ac:dyDescent="0.25">
      <c r="A11" s="96">
        <v>45</v>
      </c>
      <c r="B11" s="96">
        <v>499</v>
      </c>
      <c r="C11" s="95">
        <v>14.257142857142858</v>
      </c>
      <c r="D11" s="13">
        <f>VLOOKUP(Tabla1[[#This Row],[Tienda]],LISTA_DE_TIENDAS,5,0)</f>
        <v>5</v>
      </c>
      <c r="E11" s="13">
        <f t="array" ref="E11">VALUE(_xlfn.CONCAT(Tabla1[[#This Row],[Columna1]],(ROW(D11)-1)*0.0001))</f>
        <v>50.000999999999998</v>
      </c>
      <c r="F11" s="13">
        <f>_xlfn.RANK.EQ(Tabla1[Columna2],Tabla1[Columna2],1)</f>
        <v>14</v>
      </c>
      <c r="G11" s="13">
        <f t="array" ref="G11">ROW(Tabla1[[#This Row],[Columna3]])-1</f>
        <v>10</v>
      </c>
      <c r="H11" s="13" t="str">
        <f>_xlfn.CONCAT(INDEX(Tabla1[Tienda],MATCH(Tabla1[Columna4],Tabla1[Columna3],0))," ",VLOOKUP(INDEX(Tabla1[Tienda],MATCH(Tabla1[Columna4],Tabla1[Columna3],0)),Tabla3[],2,0))</f>
        <v>167 TITAN</v>
      </c>
      <c r="I11" s="13" t="str">
        <f>VLOOKUP(INDEX(Tabla1[Tienda],MATCH(Tabla1[Columna4],Tabla1[Columna3],0)),Tabla3[],6,0)</f>
        <v>JUMBOS</v>
      </c>
      <c r="J11" s="13">
        <f>ROUND(VLOOKUP(INDEX(Tabla1[Tienda],MATCH(Tabla1[Columna4],Tabla1[Columna3],0)),Tabla1[],3,0),0)</f>
        <v>1</v>
      </c>
      <c r="K11" s="13">
        <f>INDEX(Tabla1[Tienda],MATCH(Tabla1[Columna4],Tabla1[Columna3],0))</f>
        <v>167</v>
      </c>
      <c r="L11" s="13"/>
    </row>
    <row r="12" spans="1:13" x14ac:dyDescent="0.25">
      <c r="A12" s="96">
        <v>49</v>
      </c>
      <c r="B12" s="96">
        <v>168</v>
      </c>
      <c r="C12" s="95">
        <v>4.8</v>
      </c>
      <c r="D12" s="13">
        <f>VLOOKUP(Tabla1[[#This Row],[Tienda]],LISTA_DE_TIENDAS,5,0)</f>
        <v>5</v>
      </c>
      <c r="E12" s="13">
        <f t="array" ref="E12">VALUE(_xlfn.CONCAT(Tabla1[[#This Row],[Columna1]],(ROW(D12)-1)*0.0001))</f>
        <v>50.001100000000001</v>
      </c>
      <c r="F12" s="13">
        <f>_xlfn.RANK.EQ(Tabla1[Columna2],Tabla1[Columna2],1)</f>
        <v>15</v>
      </c>
      <c r="G12" s="13">
        <f t="array" ref="G12">ROW(Tabla1[[#This Row],[Columna3]])-1</f>
        <v>11</v>
      </c>
      <c r="H12" s="13" t="str">
        <f>_xlfn.CONCAT(INDEX(Tabla1[Tienda],MATCH(Tabla1[Columna4],Tabla1[Columna3],0))," ",VLOOKUP(INDEX(Tabla1[Tienda],MATCH(Tabla1[Columna4],Tabla1[Columna3],0)),Tabla3[],2,0))</f>
        <v>191 BAZZAR</v>
      </c>
      <c r="I12" s="13" t="str">
        <f>VLOOKUP(INDEX(Tabla1[Tienda],MATCH(Tabla1[Columna4],Tabla1[Columna3],0)),Tabla3[],6,0)</f>
        <v>JUMBOS</v>
      </c>
      <c r="J12" s="13">
        <f>ROUND(VLOOKUP(INDEX(Tabla1[Tienda],MATCH(Tabla1[Columna4],Tabla1[Columna3],0)),Tabla1[],3,0),0)</f>
        <v>2</v>
      </c>
      <c r="K12" s="13">
        <f>INDEX(Tabla1[Tienda],MATCH(Tabla1[Columna4],Tabla1[Columna3],0))</f>
        <v>191</v>
      </c>
      <c r="L12" s="13"/>
    </row>
    <row r="13" spans="1:13" x14ac:dyDescent="0.25">
      <c r="A13" s="96">
        <v>70</v>
      </c>
      <c r="B13" s="96">
        <v>51</v>
      </c>
      <c r="C13" s="95">
        <v>1.4571428571428571</v>
      </c>
      <c r="D13" s="13">
        <f>VLOOKUP(Tabla1[[#This Row],[Tienda]],LISTA_DE_TIENDAS,5,0)</f>
        <v>1</v>
      </c>
      <c r="E13" s="13">
        <f t="array" ref="E13">VALUE(_xlfn.CONCAT(Tabla1[[#This Row],[Columna1]],(ROW(D13)-1)*0.0001))</f>
        <v>10.001200000000001</v>
      </c>
      <c r="F13" s="13">
        <f>_xlfn.RANK.EQ(Tabla1[Columna2],Tabla1[Columna2],1)</f>
        <v>8</v>
      </c>
      <c r="G13" s="13">
        <f t="array" ref="G13">ROW(Tabla1[[#This Row],[Columna3]])-1</f>
        <v>12</v>
      </c>
      <c r="H13" s="13" t="str">
        <f>_xlfn.CONCAT(INDEX(Tabla1[Tienda],MATCH(Tabla1[Columna4],Tabla1[Columna3],0))," ",VLOOKUP(INDEX(Tabla1[Tienda],MATCH(Tabla1[Columna4],Tabla1[Columna3],0)),Tabla3[],2,0))</f>
        <v>40 RIOHACHA</v>
      </c>
      <c r="I13" s="13" t="str">
        <f>VLOOKUP(INDEX(Tabla1[Tienda],MATCH(Tabla1[Columna4],Tabla1[Columna3],0)),Tabla3[],6,0)</f>
        <v>COSTAS</v>
      </c>
      <c r="J13" s="13">
        <f>ROUND(VLOOKUP(INDEX(Tabla1[Tienda],MATCH(Tabla1[Columna4],Tabla1[Columna3],0)),Tabla1[],3,0),0)</f>
        <v>6</v>
      </c>
      <c r="K13" s="13">
        <f>INDEX(Tabla1[Tienda],MATCH(Tabla1[Columna4],Tabla1[Columna3],0))</f>
        <v>40</v>
      </c>
      <c r="L13" s="13"/>
    </row>
    <row r="14" spans="1:13" x14ac:dyDescent="0.25">
      <c r="A14" s="96">
        <v>72</v>
      </c>
      <c r="B14" s="96">
        <v>102</v>
      </c>
      <c r="C14" s="95">
        <v>2.9142857142857141</v>
      </c>
      <c r="D14" s="13">
        <f>VLOOKUP(Tabla1[[#This Row],[Tienda]],LISTA_DE_TIENDAS,5,0)</f>
        <v>1</v>
      </c>
      <c r="E14" s="13">
        <f t="array" ref="E14">VALUE(_xlfn.CONCAT(Tabla1[[#This Row],[Columna1]],(ROW(D14)-1)*0.0001))</f>
        <v>10.001300000000001</v>
      </c>
      <c r="F14" s="13">
        <f>_xlfn.RANK.EQ(Tabla1[Columna2],Tabla1[Columna2],1)</f>
        <v>9</v>
      </c>
      <c r="G14" s="13">
        <f t="array" ref="G14">ROW(Tabla1[[#This Row],[Columna3]])-1</f>
        <v>13</v>
      </c>
      <c r="H14" s="13" t="str">
        <f>_xlfn.CONCAT(INDEX(Tabla1[Tienda],MATCH(Tabla1[Columna4],Tabla1[Columna3],0))," ",VLOOKUP(INDEX(Tabla1[Tienda],MATCH(Tabla1[Columna4],Tabla1[Columna3],0)),Tabla3[],2,0))</f>
        <v>43 ALTOS DEL PRADO</v>
      </c>
      <c r="I14" s="13" t="str">
        <f>VLOOKUP(INDEX(Tabla1[Tienda],MATCH(Tabla1[Columna4],Tabla1[Columna3],0)),Tabla3[],6,0)</f>
        <v>COSTAS</v>
      </c>
      <c r="J14" s="13">
        <f>ROUND(VLOOKUP(INDEX(Tabla1[Tienda],MATCH(Tabla1[Columna4],Tabla1[Columna3],0)),Tabla1[],3,0),0)</f>
        <v>17</v>
      </c>
      <c r="K14" s="13">
        <f>INDEX(Tabla1[Tienda],MATCH(Tabla1[Columna4],Tabla1[Columna3],0))</f>
        <v>43</v>
      </c>
      <c r="L14" s="13"/>
    </row>
    <row r="15" spans="1:13" x14ac:dyDescent="0.25">
      <c r="A15" s="96">
        <v>83</v>
      </c>
      <c r="B15" s="96">
        <v>383</v>
      </c>
      <c r="C15" s="95">
        <v>10.942857142857143</v>
      </c>
      <c r="D15" s="13">
        <f>VLOOKUP(Tabla1[[#This Row],[Tienda]],LISTA_DE_TIENDAS,5,0)</f>
        <v>5</v>
      </c>
      <c r="E15" s="13">
        <f t="array" ref="E15">VALUE(_xlfn.CONCAT(Tabla1[[#This Row],[Columna1]],(ROW(D15)-1)*0.0001))</f>
        <v>50.001399999999997</v>
      </c>
      <c r="F15" s="13">
        <f>_xlfn.RANK.EQ(Tabla1[Columna2],Tabla1[Columna2],1)</f>
        <v>16</v>
      </c>
      <c r="G15" s="13">
        <f t="array" ref="G15">ROW(Tabla1[[#This Row],[Columna3]])-1</f>
        <v>14</v>
      </c>
      <c r="H15" s="13" t="str">
        <f>_xlfn.CONCAT(INDEX(Tabla1[Tienda],MATCH(Tabla1[Columna4],Tabla1[Columna3],0))," ",VLOOKUP(INDEX(Tabla1[Tienda],MATCH(Tabla1[Columna4],Tabla1[Columna3],0)),Tabla3[],2,0))</f>
        <v>45 SANTA MARTA</v>
      </c>
      <c r="I15" s="13" t="str">
        <f>VLOOKUP(INDEX(Tabla1[Tienda],MATCH(Tabla1[Columna4],Tabla1[Columna3],0)),Tabla3[],6,0)</f>
        <v>COSTAS</v>
      </c>
      <c r="J15" s="13">
        <f>ROUND(VLOOKUP(INDEX(Tabla1[Tienda],MATCH(Tabla1[Columna4],Tabla1[Columna3],0)),Tabla1[],3,0),0)</f>
        <v>14</v>
      </c>
      <c r="K15" s="13">
        <f>INDEX(Tabla1[Tienda],MATCH(Tabla1[Columna4],Tabla1[Columna3],0))</f>
        <v>45</v>
      </c>
      <c r="L15" s="13"/>
    </row>
    <row r="16" spans="1:13" x14ac:dyDescent="0.25">
      <c r="A16" s="96">
        <v>86</v>
      </c>
      <c r="B16" s="96">
        <v>289</v>
      </c>
      <c r="C16" s="95">
        <v>8.257142857142858</v>
      </c>
      <c r="D16" s="13">
        <f>VLOOKUP(Tabla1[[#This Row],[Tienda]],LISTA_DE_TIENDAS,5,0)</f>
        <v>5</v>
      </c>
      <c r="E16" s="13">
        <f t="array" ref="E16">VALUE(_xlfn.CONCAT(Tabla1[[#This Row],[Columna1]],(ROW(D16)-1)*0.0001))</f>
        <v>50.0015</v>
      </c>
      <c r="F16" s="13">
        <f>_xlfn.RANK.EQ(Tabla1[Columna2],Tabla1[Columna2],1)</f>
        <v>17</v>
      </c>
      <c r="G16" s="13">
        <f t="array" ref="G16">ROW(Tabla1[[#This Row],[Columna3]])-1</f>
        <v>15</v>
      </c>
      <c r="H16" s="13" t="str">
        <f>_xlfn.CONCAT(INDEX(Tabla1[Tienda],MATCH(Tabla1[Columna4],Tabla1[Columna3],0))," ",VLOOKUP(INDEX(Tabla1[Tienda],MATCH(Tabla1[Columna4],Tabla1[Columna3],0)),Tabla3[],2,0))</f>
        <v>49 BARRANQUILLA LA 30</v>
      </c>
      <c r="I16" s="13" t="str">
        <f>VLOOKUP(INDEX(Tabla1[Tienda],MATCH(Tabla1[Columna4],Tabla1[Columna3],0)),Tabla3[],6,0)</f>
        <v>COSTAS</v>
      </c>
      <c r="J16" s="13">
        <f>ROUND(VLOOKUP(INDEX(Tabla1[Tienda],MATCH(Tabla1[Columna4],Tabla1[Columna3],0)),Tabla1[],3,0),0)</f>
        <v>5</v>
      </c>
      <c r="K16" s="13">
        <f>INDEX(Tabla1[Tienda],MATCH(Tabla1[Columna4],Tabla1[Columna3],0))</f>
        <v>49</v>
      </c>
      <c r="L16" s="13"/>
    </row>
    <row r="17" spans="1:12" x14ac:dyDescent="0.25">
      <c r="A17" s="96">
        <v>87</v>
      </c>
      <c r="B17" s="96">
        <v>381</v>
      </c>
      <c r="C17" s="95">
        <v>10.885714285714286</v>
      </c>
      <c r="D17" s="13">
        <f>VLOOKUP(Tabla1[[#This Row],[Tienda]],LISTA_DE_TIENDAS,5,0)</f>
        <v>5</v>
      </c>
      <c r="E17" s="13">
        <f t="array" ref="E17">VALUE(_xlfn.CONCAT(Tabla1[[#This Row],[Columna1]],(ROW(D17)-1)*0.0001))</f>
        <v>50.001600000000003</v>
      </c>
      <c r="F17" s="13">
        <f>_xlfn.RANK.EQ(Tabla1[Columna2],Tabla1[Columna2],1)</f>
        <v>18</v>
      </c>
      <c r="G17" s="13">
        <f t="array" ref="G17">ROW(Tabla1[[#This Row],[Columna3]])-1</f>
        <v>16</v>
      </c>
      <c r="H17" s="13" t="str">
        <f>_xlfn.CONCAT(INDEX(Tabla1[Tienda],MATCH(Tabla1[Columna4],Tabla1[Columna3],0))," ",VLOOKUP(INDEX(Tabla1[Tienda],MATCH(Tabla1[Columna4],Tabla1[Columna3],0)),Tabla3[],2,0))</f>
        <v>83 CARTAGENA</v>
      </c>
      <c r="I17" s="13" t="str">
        <f>VLOOKUP(INDEX(Tabla1[Tienda],MATCH(Tabla1[Columna4],Tabla1[Columna3],0)),Tabla3[],6,0)</f>
        <v>COSTAS</v>
      </c>
      <c r="J17" s="13">
        <f>ROUND(VLOOKUP(INDEX(Tabla1[Tienda],MATCH(Tabla1[Columna4],Tabla1[Columna3],0)),Tabla1[],3,0),0)</f>
        <v>11</v>
      </c>
      <c r="K17" s="13">
        <f>INDEX(Tabla1[Tienda],MATCH(Tabla1[Columna4],Tabla1[Columna3],0))</f>
        <v>83</v>
      </c>
      <c r="L17" s="13"/>
    </row>
    <row r="18" spans="1:12" x14ac:dyDescent="0.25">
      <c r="A18" s="96">
        <v>88</v>
      </c>
      <c r="B18" s="96">
        <v>534</v>
      </c>
      <c r="C18" s="95">
        <v>15.257142857142858</v>
      </c>
      <c r="D18" s="13">
        <f>VLOOKUP(Tabla1[[#This Row],[Tienda]],LISTA_DE_TIENDAS,5,0)</f>
        <v>5</v>
      </c>
      <c r="E18" s="13">
        <f t="array" ref="E18">VALUE(_xlfn.CONCAT(Tabla1[[#This Row],[Columna1]],(ROW(D18)-1)*0.0001))</f>
        <v>50.0017</v>
      </c>
      <c r="F18" s="13">
        <f>_xlfn.RANK.EQ(Tabla1[Columna2],Tabla1[Columna2],1)</f>
        <v>19</v>
      </c>
      <c r="G18" s="13">
        <f t="array" ref="G18">ROW(Tabla1[[#This Row],[Columna3]])-1</f>
        <v>17</v>
      </c>
      <c r="H18" s="13" t="str">
        <f>_xlfn.CONCAT(INDEX(Tabla1[Tienda],MATCH(Tabla1[Columna4],Tabla1[Columna3],0))," ",VLOOKUP(INDEX(Tabla1[Tienda],MATCH(Tabla1[Columna4],Tabla1[Columna3],0)),Tabla3[],2,0))</f>
        <v>86 AMERICANO</v>
      </c>
      <c r="I18" s="13" t="str">
        <f>VLOOKUP(INDEX(Tabla1[Tienda],MATCH(Tabla1[Columna4],Tabla1[Columna3],0)),Tabla3[],6,0)</f>
        <v>COSTAS</v>
      </c>
      <c r="J18" s="13">
        <f>ROUND(VLOOKUP(INDEX(Tabla1[Tienda],MATCH(Tabla1[Columna4],Tabla1[Columna3],0)),Tabla1[],3,0),0)</f>
        <v>8</v>
      </c>
      <c r="K18" s="13">
        <f>INDEX(Tabla1[Tienda],MATCH(Tabla1[Columna4],Tabla1[Columna3],0))</f>
        <v>86</v>
      </c>
      <c r="L18" s="13"/>
    </row>
    <row r="19" spans="1:12" x14ac:dyDescent="0.25">
      <c r="A19" s="96">
        <v>167</v>
      </c>
      <c r="B19" s="96">
        <v>38</v>
      </c>
      <c r="C19" s="95">
        <v>1.0857142857142856</v>
      </c>
      <c r="D19" s="13">
        <f>VLOOKUP(Tabla1[[#This Row],[Tienda]],LISTA_DE_TIENDAS,5,0)</f>
        <v>1</v>
      </c>
      <c r="E19" s="13">
        <f t="array" ref="E19">VALUE(_xlfn.CONCAT(Tabla1[[#This Row],[Columna1]],(ROW(D19)-1)*0.0001))</f>
        <v>10.001799999999999</v>
      </c>
      <c r="F19" s="13">
        <f>_xlfn.RANK.EQ(Tabla1[Columna2],Tabla1[Columna2],1)</f>
        <v>10</v>
      </c>
      <c r="G19" s="13">
        <f t="array" ref="G19">ROW(Tabla1[[#This Row],[Columna3]])-1</f>
        <v>18</v>
      </c>
      <c r="H19" s="13" t="str">
        <f>_xlfn.CONCAT(INDEX(Tabla1[Tienda],MATCH(Tabla1[Columna4],Tabla1[Columna3],0))," ",VLOOKUP(INDEX(Tabla1[Tienda],MATCH(Tabla1[Columna4],Tabla1[Columna3],0)),Tabla3[],2,0))</f>
        <v>87 VALLEDUPAR</v>
      </c>
      <c r="I19" s="13" t="str">
        <f>VLOOKUP(INDEX(Tabla1[Tienda],MATCH(Tabla1[Columna4],Tabla1[Columna3],0)),Tabla3[],6,0)</f>
        <v>COSTAS</v>
      </c>
      <c r="J19" s="13">
        <f>ROUND(VLOOKUP(INDEX(Tabla1[Tienda],MATCH(Tabla1[Columna4],Tabla1[Columna3],0)),Tabla1[],3,0),0)</f>
        <v>11</v>
      </c>
      <c r="K19" s="13">
        <f>INDEX(Tabla1[Tienda],MATCH(Tabla1[Columna4],Tabla1[Columna3],0))</f>
        <v>87</v>
      </c>
      <c r="L19" s="13"/>
    </row>
    <row r="20" spans="1:12" x14ac:dyDescent="0.25">
      <c r="A20" s="96">
        <v>174</v>
      </c>
      <c r="B20" s="96">
        <v>362</v>
      </c>
      <c r="C20" s="95">
        <v>10.342857142857143</v>
      </c>
      <c r="D20" s="13">
        <f>VLOOKUP(Tabla1[[#This Row],[Tienda]],LISTA_DE_TIENDAS,5,0)</f>
        <v>5</v>
      </c>
      <c r="E20" s="13">
        <f t="array" ref="E20">VALUE(_xlfn.CONCAT(Tabla1[[#This Row],[Columna1]],(ROW(D20)-1)*0.0001))</f>
        <v>50.001899999999999</v>
      </c>
      <c r="F20" s="13">
        <f>_xlfn.RANK.EQ(Tabla1[Columna2],Tabla1[Columna2],1)</f>
        <v>20</v>
      </c>
      <c r="G20" s="13">
        <f t="array" ref="G20">ROW(Tabla1[[#This Row],[Columna3]])-1</f>
        <v>19</v>
      </c>
      <c r="H20" s="13" t="str">
        <f>_xlfn.CONCAT(INDEX(Tabla1[Tienda],MATCH(Tabla1[Columna4],Tabla1[Columna3],0))," ",VLOOKUP(INDEX(Tabla1[Tienda],MATCH(Tabla1[Columna4],Tabla1[Columna3],0)),Tabla3[],2,0))</f>
        <v>88 BUENAVISTA</v>
      </c>
      <c r="I20" s="13" t="str">
        <f>VLOOKUP(INDEX(Tabla1[Tienda],MATCH(Tabla1[Columna4],Tabla1[Columna3],0)),Tabla3[],6,0)</f>
        <v>COSTAS</v>
      </c>
      <c r="J20" s="13">
        <f>ROUND(VLOOKUP(INDEX(Tabla1[Tienda],MATCH(Tabla1[Columna4],Tabla1[Columna3],0)),Tabla1[],3,0),0)</f>
        <v>15</v>
      </c>
      <c r="K20" s="13">
        <f>INDEX(Tabla1[Tienda],MATCH(Tabla1[Columna4],Tabla1[Columna3],0))</f>
        <v>88</v>
      </c>
      <c r="L20" s="13"/>
    </row>
    <row r="21" spans="1:12" x14ac:dyDescent="0.25">
      <c r="A21" s="96">
        <v>177</v>
      </c>
      <c r="B21" s="96">
        <v>230</v>
      </c>
      <c r="C21" s="95">
        <v>6.5714285714285712</v>
      </c>
      <c r="D21" s="13">
        <f>VLOOKUP(Tabla1[[#This Row],[Tienda]],LISTA_DE_TIENDAS,5,0)</f>
        <v>5</v>
      </c>
      <c r="E21" s="13">
        <f t="array" ref="E21">VALUE(_xlfn.CONCAT(Tabla1[[#This Row],[Columna1]],(ROW(D21)-1)*0.0001))</f>
        <v>50.002000000000002</v>
      </c>
      <c r="F21" s="13">
        <f>_xlfn.RANK.EQ(Tabla1[Columna2],Tabla1[Columna2],1)</f>
        <v>21</v>
      </c>
      <c r="G21" s="13">
        <f t="array" ref="G21">ROW(Tabla1[[#This Row],[Columna3]])-1</f>
        <v>20</v>
      </c>
      <c r="H21" s="13" t="str">
        <f>_xlfn.CONCAT(INDEX(Tabla1[Tienda],MATCH(Tabla1[Columna4],Tabla1[Columna3],0))," ",VLOOKUP(INDEX(Tabla1[Tienda],MATCH(Tabla1[Columna4],Tabla1[Columna3],0)),Tabla3[],2,0))</f>
        <v>174 EL CASTILLO</v>
      </c>
      <c r="I21" s="13" t="str">
        <f>VLOOKUP(INDEX(Tabla1[Tienda],MATCH(Tabla1[Columna4],Tabla1[Columna3],0)),Tabla3[],6,0)</f>
        <v>COSTAS</v>
      </c>
      <c r="J21" s="13">
        <f>ROUND(VLOOKUP(INDEX(Tabla1[Tienda],MATCH(Tabla1[Columna4],Tabla1[Columna3],0)),Tabla1[],3,0),0)</f>
        <v>10</v>
      </c>
      <c r="K21" s="13">
        <f>INDEX(Tabla1[Tienda],MATCH(Tabla1[Columna4],Tabla1[Columna3],0))</f>
        <v>174</v>
      </c>
      <c r="L21" s="13"/>
    </row>
    <row r="22" spans="1:12" x14ac:dyDescent="0.25">
      <c r="A22" s="96">
        <v>184</v>
      </c>
      <c r="B22" s="96">
        <v>206</v>
      </c>
      <c r="C22" s="95">
        <v>5.8857142857142861</v>
      </c>
      <c r="D22" s="13">
        <f>VLOOKUP(Tabla1[[#This Row],[Tienda]],LISTA_DE_TIENDAS,5,0)</f>
        <v>5</v>
      </c>
      <c r="E22" s="13">
        <f t="array" ref="E22">VALUE(_xlfn.CONCAT(Tabla1[[#This Row],[Columna1]],(ROW(D22)-1)*0.0001))</f>
        <v>50.002099999999999</v>
      </c>
      <c r="F22" s="13">
        <f>_xlfn.RANK.EQ(Tabla1[Columna2],Tabla1[Columna2],1)</f>
        <v>22</v>
      </c>
      <c r="G22" s="13">
        <f t="array" ref="G22">ROW(Tabla1[[#This Row],[Columna3]])-1</f>
        <v>21</v>
      </c>
      <c r="H22" s="13" t="str">
        <f>_xlfn.CONCAT(INDEX(Tabla1[Tienda],MATCH(Tabla1[Columna4],Tabla1[Columna3],0))," ",VLOOKUP(INDEX(Tabla1[Tienda],MATCH(Tabla1[Columna4],Tabla1[Columna3],0)),Tabla3[],2,0))</f>
        <v>177 SAN FRANCISCO</v>
      </c>
      <c r="I22" s="13" t="str">
        <f>VLOOKUP(INDEX(Tabla1[Tienda],MATCH(Tabla1[Columna4],Tabla1[Columna3],0)),Tabla3[],6,0)</f>
        <v>COSTAS</v>
      </c>
      <c r="J22" s="13">
        <f>ROUND(VLOOKUP(INDEX(Tabla1[Tienda],MATCH(Tabla1[Columna4],Tabla1[Columna3],0)),Tabla1[],3,0),0)</f>
        <v>7</v>
      </c>
      <c r="K22" s="13">
        <f>INDEX(Tabla1[Tienda],MATCH(Tabla1[Columna4],Tabla1[Columna3],0))</f>
        <v>177</v>
      </c>
      <c r="L22" s="13"/>
    </row>
    <row r="23" spans="1:12" x14ac:dyDescent="0.25">
      <c r="A23" s="96">
        <v>191</v>
      </c>
      <c r="B23" s="96">
        <v>68</v>
      </c>
      <c r="C23" s="95">
        <v>1.9428571428571428</v>
      </c>
      <c r="D23" s="13">
        <f>VLOOKUP(Tabla1[[#This Row],[Tienda]],LISTA_DE_TIENDAS,5,0)</f>
        <v>1</v>
      </c>
      <c r="E23" s="13">
        <f t="array" ref="E23">VALUE(_xlfn.CONCAT(Tabla1[[#This Row],[Columna1]],(ROW(D23)-1)*0.0001))</f>
        <v>10.0022</v>
      </c>
      <c r="F23" s="13">
        <f>_xlfn.RANK.EQ(Tabla1[Columna2],Tabla1[Columna2],1)</f>
        <v>11</v>
      </c>
      <c r="G23" s="13">
        <f t="array" ref="G23">ROW(Tabla1[[#This Row],[Columna3]])-1</f>
        <v>22</v>
      </c>
      <c r="H23" s="13" t="str">
        <f>_xlfn.CONCAT(INDEX(Tabla1[Tienda],MATCH(Tabla1[Columna4],Tabla1[Columna3],0))," ",VLOOKUP(INDEX(Tabla1[Tienda],MATCH(Tabla1[Columna4],Tabla1[Columna3],0)),Tabla3[],2,0))</f>
        <v>184 METRO MAYALES</v>
      </c>
      <c r="I23" s="13" t="str">
        <f>VLOOKUP(INDEX(Tabla1[Tienda],MATCH(Tabla1[Columna4],Tabla1[Columna3],0)),Tabla3[],6,0)</f>
        <v>COSTAS</v>
      </c>
      <c r="J23" s="13">
        <f>ROUND(VLOOKUP(INDEX(Tabla1[Tienda],MATCH(Tabla1[Columna4],Tabla1[Columna3],0)),Tabla1[],3,0),0)</f>
        <v>6</v>
      </c>
      <c r="K23" s="13">
        <f>INDEX(Tabla1[Tienda],MATCH(Tabla1[Columna4],Tabla1[Columna3],0))</f>
        <v>184</v>
      </c>
      <c r="L23" s="13"/>
    </row>
  </sheetData>
  <pageMargins left="0.7" right="0.7" top="0.75" bottom="0.75" header="0.3" footer="0.3"/>
  <pageSetup scale="68" fitToHeight="0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pageSetUpPr fitToPage="1"/>
  </sheetPr>
  <dimension ref="A1:AR38"/>
  <sheetViews>
    <sheetView view="pageBreakPreview" topLeftCell="C1" zoomScale="60" zoomScaleNormal="40" zoomScalePageLayoutView="55" workbookViewId="0">
      <selection activeCell="D2" sqref="D2:M2"/>
    </sheetView>
  </sheetViews>
  <sheetFormatPr baseColWidth="10" defaultRowHeight="29.25" customHeight="1" x14ac:dyDescent="0.25"/>
  <cols>
    <col min="1" max="1" width="5.42578125" style="27" hidden="1" customWidth="1"/>
    <col min="2" max="2" width="5.28515625" style="27" hidden="1" customWidth="1"/>
    <col min="3" max="3" width="39.28515625" style="27" customWidth="1"/>
    <col min="4" max="4" width="7.7109375" style="72" customWidth="1"/>
    <col min="5" max="40" width="5.140625" style="27" customWidth="1"/>
    <col min="41" max="41" width="17" style="27" customWidth="1"/>
    <col min="42" max="16384" width="11.42578125" style="56"/>
  </cols>
  <sheetData>
    <row r="1" spans="1:44" s="28" customFormat="1" ht="15" customHeight="1" x14ac:dyDescent="0.2">
      <c r="A1" s="16"/>
      <c r="B1" s="16"/>
      <c r="C1" s="90" t="s">
        <v>129</v>
      </c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</row>
    <row r="2" spans="1:44" s="28" customFormat="1" ht="15" customHeight="1" x14ac:dyDescent="0.2">
      <c r="A2" s="16"/>
      <c r="B2" s="16"/>
      <c r="C2" s="17" t="s">
        <v>143</v>
      </c>
      <c r="D2" s="90" t="s">
        <v>161</v>
      </c>
      <c r="E2" s="91"/>
      <c r="F2" s="91"/>
      <c r="G2" s="91"/>
      <c r="H2" s="91"/>
      <c r="I2" s="91"/>
      <c r="J2" s="91"/>
      <c r="K2" s="91"/>
      <c r="L2" s="91"/>
      <c r="M2" s="92"/>
      <c r="N2" s="82" t="str">
        <f ca="1">"Fecha : " &amp; TEXT(TODAY(),"DD / MMmmmmm / YYYY")</f>
        <v>Fecha : 01 / septiembre / 2018</v>
      </c>
      <c r="O2" s="83"/>
      <c r="P2" s="83"/>
      <c r="Q2" s="83"/>
      <c r="R2" s="83"/>
      <c r="S2" s="83"/>
      <c r="T2" s="83"/>
      <c r="U2" s="83"/>
      <c r="V2" s="83"/>
      <c r="W2" s="83"/>
      <c r="X2" s="83"/>
      <c r="Y2" s="84"/>
      <c r="Z2" s="90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</row>
    <row r="3" spans="1:44" s="29" customFormat="1" ht="17.25" customHeight="1" x14ac:dyDescent="0.3">
      <c r="A3" s="19"/>
      <c r="B3" s="19"/>
      <c r="C3" s="88" t="s">
        <v>162</v>
      </c>
      <c r="D3" s="93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67" t="s">
        <v>150</v>
      </c>
    </row>
    <row r="4" spans="1:44" s="29" customFormat="1" ht="17.25" customHeight="1" x14ac:dyDescent="0.3">
      <c r="A4" s="19"/>
      <c r="B4" s="19"/>
      <c r="C4" s="88"/>
      <c r="D4" s="94"/>
      <c r="E4" s="20"/>
      <c r="F4" s="23"/>
      <c r="G4" s="20"/>
      <c r="H4" s="66"/>
      <c r="I4" s="20"/>
      <c r="J4" s="23"/>
      <c r="K4" s="20"/>
      <c r="L4" s="23"/>
      <c r="M4" s="20"/>
      <c r="N4" s="66"/>
      <c r="O4" s="20"/>
      <c r="P4" s="23"/>
      <c r="Q4" s="20"/>
      <c r="R4" s="23"/>
      <c r="S4" s="20"/>
      <c r="T4" s="66"/>
      <c r="U4" s="20"/>
      <c r="V4" s="23"/>
      <c r="W4" s="20"/>
      <c r="X4" s="23"/>
      <c r="Y4" s="20"/>
      <c r="Z4" s="66"/>
      <c r="AA4" s="20"/>
      <c r="AB4" s="23"/>
      <c r="AC4" s="20"/>
      <c r="AD4" s="23"/>
      <c r="AE4" s="20"/>
      <c r="AF4" s="66"/>
      <c r="AG4" s="20"/>
      <c r="AH4" s="23"/>
      <c r="AI4" s="20"/>
      <c r="AJ4" s="23"/>
      <c r="AK4" s="20"/>
      <c r="AL4" s="66"/>
      <c r="AM4" s="20"/>
      <c r="AN4" s="23"/>
      <c r="AO4" s="21"/>
    </row>
    <row r="5" spans="1:44" ht="29.25" customHeight="1" x14ac:dyDescent="0.4">
      <c r="A5" s="14" t="str">
        <f>'PEGAR ACA'!H2</f>
        <v>3 BULEVAR</v>
      </c>
      <c r="B5" s="27">
        <f>'PEGAR ACA'!J2</f>
        <v>4</v>
      </c>
      <c r="C5" s="18"/>
      <c r="D5" s="69"/>
      <c r="E5" s="10"/>
      <c r="F5" s="9"/>
      <c r="G5" s="11"/>
      <c r="H5" s="9"/>
      <c r="I5" s="11"/>
      <c r="J5" s="9"/>
      <c r="K5" s="10"/>
      <c r="L5" s="9"/>
      <c r="M5" s="11"/>
      <c r="N5" s="9"/>
      <c r="O5" s="11"/>
      <c r="P5" s="9"/>
      <c r="Q5" s="10"/>
      <c r="R5" s="9"/>
      <c r="S5" s="11"/>
      <c r="T5" s="9"/>
      <c r="U5" s="11"/>
      <c r="V5" s="9"/>
      <c r="W5" s="10"/>
      <c r="X5" s="9"/>
      <c r="Y5" s="11"/>
      <c r="Z5" s="9"/>
      <c r="AA5" s="11"/>
      <c r="AB5" s="9"/>
      <c r="AC5" s="10"/>
      <c r="AD5" s="9"/>
      <c r="AE5" s="11"/>
      <c r="AF5" s="9"/>
      <c r="AG5" s="11"/>
      <c r="AH5" s="9"/>
      <c r="AI5" s="10"/>
      <c r="AJ5" s="9"/>
      <c r="AK5" s="11"/>
      <c r="AL5" s="9"/>
      <c r="AM5" s="11"/>
      <c r="AN5" s="9"/>
      <c r="AO5" s="68"/>
    </row>
    <row r="6" spans="1:44" ht="29.25" customHeight="1" x14ac:dyDescent="0.4">
      <c r="A6" s="14" t="str">
        <f>'PEGAR ACA'!H3</f>
        <v>11 CALLE 80</v>
      </c>
      <c r="B6" s="27">
        <f>'PEGAR ACA'!J3</f>
        <v>5</v>
      </c>
      <c r="C6" s="18"/>
      <c r="D6" s="69"/>
      <c r="E6" s="10"/>
      <c r="F6" s="9"/>
      <c r="G6" s="10"/>
      <c r="H6" s="9"/>
      <c r="I6" s="10"/>
      <c r="J6" s="9"/>
      <c r="K6" s="10"/>
      <c r="L6" s="9"/>
      <c r="M6" s="10"/>
      <c r="N6" s="9"/>
      <c r="O6" s="10"/>
      <c r="P6" s="9"/>
      <c r="Q6" s="10"/>
      <c r="R6" s="9"/>
      <c r="S6" s="10"/>
      <c r="T6" s="9"/>
      <c r="U6" s="10"/>
      <c r="V6" s="9"/>
      <c r="W6" s="10"/>
      <c r="X6" s="9"/>
      <c r="Y6" s="10"/>
      <c r="Z6" s="9"/>
      <c r="AA6" s="10"/>
      <c r="AB6" s="9"/>
      <c r="AC6" s="10"/>
      <c r="AD6" s="9"/>
      <c r="AE6" s="10"/>
      <c r="AF6" s="9"/>
      <c r="AG6" s="10"/>
      <c r="AH6" s="9"/>
      <c r="AI6" s="10"/>
      <c r="AJ6" s="9"/>
      <c r="AK6" s="10"/>
      <c r="AL6" s="9"/>
      <c r="AM6" s="10"/>
      <c r="AN6" s="9"/>
      <c r="AO6" s="68"/>
    </row>
    <row r="7" spans="1:44" ht="29.25" customHeight="1" x14ac:dyDescent="0.4">
      <c r="A7" s="14" t="str">
        <f>'PEGAR ACA'!H4</f>
        <v>14 CALLE 170</v>
      </c>
      <c r="B7" s="27">
        <f>'PEGAR ACA'!J4</f>
        <v>5</v>
      </c>
      <c r="C7" s="18"/>
      <c r="D7" s="69"/>
      <c r="E7" s="10"/>
      <c r="F7" s="9"/>
      <c r="G7" s="10"/>
      <c r="H7" s="9"/>
      <c r="I7" s="10"/>
      <c r="J7" s="9"/>
      <c r="K7" s="10"/>
      <c r="L7" s="9"/>
      <c r="M7" s="10"/>
      <c r="N7" s="9"/>
      <c r="O7" s="10"/>
      <c r="P7" s="9"/>
      <c r="Q7" s="10"/>
      <c r="R7" s="9"/>
      <c r="S7" s="10"/>
      <c r="T7" s="9"/>
      <c r="U7" s="10"/>
      <c r="V7" s="9"/>
      <c r="W7" s="10"/>
      <c r="X7" s="9"/>
      <c r="Y7" s="10"/>
      <c r="Z7" s="9"/>
      <c r="AA7" s="10"/>
      <c r="AB7" s="9"/>
      <c r="AC7" s="10"/>
      <c r="AD7" s="9"/>
      <c r="AE7" s="10"/>
      <c r="AF7" s="9"/>
      <c r="AG7" s="10"/>
      <c r="AH7" s="9"/>
      <c r="AI7" s="10"/>
      <c r="AJ7" s="9"/>
      <c r="AK7" s="10"/>
      <c r="AL7" s="9"/>
      <c r="AM7" s="10"/>
      <c r="AN7" s="9"/>
      <c r="AO7" s="68"/>
    </row>
    <row r="8" spans="1:44" ht="29.25" customHeight="1" x14ac:dyDescent="0.4">
      <c r="A8" s="14" t="str">
        <f>'PEGAR ACA'!H5</f>
        <v>15 HAYUELOS</v>
      </c>
      <c r="B8" s="27">
        <f>'PEGAR ACA'!J5</f>
        <v>5</v>
      </c>
      <c r="C8" s="18"/>
      <c r="D8" s="69"/>
      <c r="E8" s="10"/>
      <c r="F8" s="9"/>
      <c r="G8" s="10"/>
      <c r="H8" s="9"/>
      <c r="I8" s="10"/>
      <c r="J8" s="9"/>
      <c r="K8" s="10"/>
      <c r="L8" s="9"/>
      <c r="M8" s="10"/>
      <c r="N8" s="9"/>
      <c r="O8" s="10"/>
      <c r="P8" s="9"/>
      <c r="Q8" s="10"/>
      <c r="R8" s="9"/>
      <c r="S8" s="10"/>
      <c r="T8" s="9"/>
      <c r="U8" s="10"/>
      <c r="V8" s="9"/>
      <c r="W8" s="10"/>
      <c r="X8" s="9"/>
      <c r="Y8" s="10"/>
      <c r="Z8" s="9"/>
      <c r="AA8" s="10"/>
      <c r="AB8" s="9"/>
      <c r="AC8" s="10"/>
      <c r="AD8" s="9"/>
      <c r="AE8" s="10"/>
      <c r="AF8" s="9"/>
      <c r="AG8" s="10"/>
      <c r="AH8" s="9"/>
      <c r="AI8" s="10"/>
      <c r="AJ8" s="9"/>
      <c r="AK8" s="10"/>
      <c r="AL8" s="9"/>
      <c r="AM8" s="10"/>
      <c r="AN8" s="9"/>
      <c r="AO8" s="68"/>
    </row>
    <row r="9" spans="1:44" ht="29.25" customHeight="1" x14ac:dyDescent="0.4">
      <c r="A9" s="14" t="str">
        <f>'PEGAR ACA'!H6</f>
        <v>16 CARRERA 30 BOGOTA</v>
      </c>
      <c r="B9" s="27">
        <f>'PEGAR ACA'!J6</f>
        <v>3</v>
      </c>
      <c r="C9" s="18"/>
      <c r="D9" s="69"/>
      <c r="E9" s="10"/>
      <c r="F9" s="9"/>
      <c r="G9" s="10"/>
      <c r="H9" s="9"/>
      <c r="I9" s="10"/>
      <c r="J9" s="9"/>
      <c r="K9" s="10"/>
      <c r="L9" s="9"/>
      <c r="M9" s="10"/>
      <c r="N9" s="9"/>
      <c r="O9" s="10"/>
      <c r="P9" s="9"/>
      <c r="Q9" s="10"/>
      <c r="R9" s="9"/>
      <c r="S9" s="10"/>
      <c r="T9" s="9"/>
      <c r="U9" s="10"/>
      <c r="V9" s="9"/>
      <c r="W9" s="10"/>
      <c r="X9" s="9"/>
      <c r="Y9" s="10"/>
      <c r="Z9" s="9"/>
      <c r="AA9" s="10"/>
      <c r="AB9" s="9"/>
      <c r="AC9" s="10"/>
      <c r="AD9" s="9"/>
      <c r="AE9" s="10"/>
      <c r="AF9" s="9"/>
      <c r="AG9" s="10"/>
      <c r="AH9" s="9"/>
      <c r="AI9" s="10"/>
      <c r="AJ9" s="9"/>
      <c r="AK9" s="10"/>
      <c r="AL9" s="9"/>
      <c r="AM9" s="10"/>
      <c r="AN9" s="9"/>
      <c r="AO9" s="10"/>
    </row>
    <row r="10" spans="1:44" ht="29.25" customHeight="1" x14ac:dyDescent="0.4">
      <c r="A10" s="14" t="str">
        <f>'PEGAR ACA'!H7</f>
        <v>19 SANTA ANA</v>
      </c>
      <c r="B10" s="27">
        <f>'PEGAR ACA'!J7</f>
        <v>11</v>
      </c>
      <c r="C10" s="18"/>
      <c r="D10" s="69"/>
      <c r="E10" s="10"/>
      <c r="F10" s="9"/>
      <c r="G10" s="10"/>
      <c r="H10" s="9"/>
      <c r="I10" s="10"/>
      <c r="J10" s="9"/>
      <c r="K10" s="10"/>
      <c r="L10" s="9"/>
      <c r="M10" s="10"/>
      <c r="N10" s="9"/>
      <c r="O10" s="10"/>
      <c r="P10" s="9"/>
      <c r="Q10" s="10"/>
      <c r="R10" s="9"/>
      <c r="S10" s="10"/>
      <c r="T10" s="9"/>
      <c r="U10" s="10"/>
      <c r="V10" s="9"/>
      <c r="W10" s="10"/>
      <c r="X10" s="9"/>
      <c r="Y10" s="10"/>
      <c r="Z10" s="9"/>
      <c r="AA10" s="10"/>
      <c r="AB10" s="9"/>
      <c r="AC10" s="10"/>
      <c r="AD10" s="9"/>
      <c r="AE10" s="10"/>
      <c r="AF10" s="9"/>
      <c r="AG10" s="10"/>
      <c r="AH10" s="9"/>
      <c r="AI10" s="10"/>
      <c r="AJ10" s="9"/>
      <c r="AK10" s="10"/>
      <c r="AL10" s="9"/>
      <c r="AM10" s="10"/>
      <c r="AN10" s="9"/>
      <c r="AO10" s="10"/>
    </row>
    <row r="11" spans="1:44" ht="29.25" customHeight="1" x14ac:dyDescent="0.4">
      <c r="A11" s="14" t="e">
        <f>'PEGAR ACA'!#REF!</f>
        <v>#REF!</v>
      </c>
      <c r="B11" s="27" t="e">
        <f>'PEGAR ACA'!#REF!</f>
        <v>#REF!</v>
      </c>
      <c r="C11" s="18"/>
      <c r="D11" s="69"/>
      <c r="E11" s="10"/>
      <c r="F11" s="9"/>
      <c r="G11" s="10"/>
      <c r="H11" s="9"/>
      <c r="I11" s="10"/>
      <c r="J11" s="9"/>
      <c r="K11" s="10"/>
      <c r="L11" s="9"/>
      <c r="M11" s="10"/>
      <c r="N11" s="9"/>
      <c r="O11" s="10"/>
      <c r="P11" s="9"/>
      <c r="Q11" s="10"/>
      <c r="R11" s="9"/>
      <c r="S11" s="10"/>
      <c r="T11" s="9"/>
      <c r="U11" s="10"/>
      <c r="V11" s="9"/>
      <c r="W11" s="10"/>
      <c r="X11" s="9"/>
      <c r="Y11" s="10"/>
      <c r="Z11" s="9"/>
      <c r="AA11" s="10"/>
      <c r="AB11" s="9"/>
      <c r="AC11" s="10"/>
      <c r="AD11" s="9"/>
      <c r="AE11" s="10"/>
      <c r="AF11" s="9"/>
      <c r="AG11" s="10"/>
      <c r="AH11" s="9"/>
      <c r="AI11" s="10"/>
      <c r="AJ11" s="9"/>
      <c r="AK11" s="10"/>
      <c r="AL11" s="9"/>
      <c r="AM11" s="10"/>
      <c r="AN11" s="9"/>
      <c r="AO11" s="10"/>
    </row>
    <row r="12" spans="1:44" ht="29.25" customHeight="1" x14ac:dyDescent="0.4">
      <c r="A12" s="14" t="e">
        <f>'PEGAR ACA'!#REF!</f>
        <v>#REF!</v>
      </c>
      <c r="B12" s="27" t="e">
        <f>'PEGAR ACA'!#REF!</f>
        <v>#REF!</v>
      </c>
      <c r="C12" s="18"/>
      <c r="D12" s="69"/>
      <c r="E12" s="10"/>
      <c r="F12" s="9"/>
      <c r="G12" s="10"/>
      <c r="H12" s="9"/>
      <c r="I12" s="10"/>
      <c r="J12" s="9"/>
      <c r="K12" s="10"/>
      <c r="L12" s="9"/>
      <c r="M12" s="10"/>
      <c r="N12" s="9"/>
      <c r="O12" s="10"/>
      <c r="P12" s="9"/>
      <c r="Q12" s="10"/>
      <c r="R12" s="9"/>
      <c r="S12" s="10"/>
      <c r="T12" s="9"/>
      <c r="U12" s="10"/>
      <c r="V12" s="9"/>
      <c r="W12" s="10"/>
      <c r="X12" s="9"/>
      <c r="Y12" s="10"/>
      <c r="Z12" s="9"/>
      <c r="AA12" s="10"/>
      <c r="AB12" s="9"/>
      <c r="AC12" s="10"/>
      <c r="AD12" s="9"/>
      <c r="AE12" s="10"/>
      <c r="AF12" s="9"/>
      <c r="AG12" s="10"/>
      <c r="AH12" s="9"/>
      <c r="AI12" s="10"/>
      <c r="AJ12" s="9"/>
      <c r="AK12" s="10"/>
      <c r="AL12" s="9"/>
      <c r="AM12" s="10"/>
      <c r="AN12" s="9"/>
      <c r="AO12" s="10"/>
    </row>
    <row r="13" spans="1:44" ht="29.25" customHeight="1" x14ac:dyDescent="0.4">
      <c r="A13" s="14" t="e">
        <f>'PEGAR ACA'!#REF!</f>
        <v>#REF!</v>
      </c>
      <c r="B13" s="27" t="e">
        <f>'PEGAR ACA'!#REF!</f>
        <v>#REF!</v>
      </c>
      <c r="C13" s="18"/>
      <c r="D13" s="69"/>
      <c r="E13" s="10"/>
      <c r="F13" s="9"/>
      <c r="G13" s="10"/>
      <c r="H13" s="9"/>
      <c r="I13" s="10"/>
      <c r="J13" s="9"/>
      <c r="K13" s="10"/>
      <c r="L13" s="9"/>
      <c r="M13" s="10"/>
      <c r="N13" s="9"/>
      <c r="O13" s="10"/>
      <c r="P13" s="9"/>
      <c r="Q13" s="10"/>
      <c r="R13" s="9"/>
      <c r="S13" s="10"/>
      <c r="T13" s="9"/>
      <c r="U13" s="10"/>
      <c r="V13" s="9"/>
      <c r="W13" s="10"/>
      <c r="X13" s="9"/>
      <c r="Y13" s="10"/>
      <c r="Z13" s="9"/>
      <c r="AA13" s="10"/>
      <c r="AB13" s="9"/>
      <c r="AC13" s="10"/>
      <c r="AD13" s="9"/>
      <c r="AE13" s="10"/>
      <c r="AF13" s="9"/>
      <c r="AG13" s="10"/>
      <c r="AH13" s="9"/>
      <c r="AI13" s="10"/>
      <c r="AJ13" s="9"/>
      <c r="AK13" s="10"/>
      <c r="AL13" s="9"/>
      <c r="AM13" s="10"/>
      <c r="AN13" s="9"/>
      <c r="AO13" s="10"/>
      <c r="AR13" s="56" t="s">
        <v>158</v>
      </c>
    </row>
    <row r="14" spans="1:44" ht="29.25" customHeight="1" x14ac:dyDescent="0.4">
      <c r="A14" s="14" t="e">
        <f>'PEGAR ACA'!#REF!</f>
        <v>#REF!</v>
      </c>
      <c r="B14" s="27" t="e">
        <f>'PEGAR ACA'!#REF!</f>
        <v>#REF!</v>
      </c>
      <c r="C14" s="18"/>
      <c r="D14" s="69"/>
      <c r="E14" s="10"/>
      <c r="F14" s="9"/>
      <c r="G14" s="10"/>
      <c r="H14" s="9"/>
      <c r="I14" s="10"/>
      <c r="J14" s="9"/>
      <c r="K14" s="10"/>
      <c r="L14" s="9"/>
      <c r="M14" s="10"/>
      <c r="N14" s="9"/>
      <c r="O14" s="10"/>
      <c r="P14" s="9"/>
      <c r="Q14" s="10"/>
      <c r="R14" s="9"/>
      <c r="S14" s="10"/>
      <c r="T14" s="9"/>
      <c r="U14" s="10"/>
      <c r="V14" s="9"/>
      <c r="W14" s="10"/>
      <c r="X14" s="9"/>
      <c r="Y14" s="10"/>
      <c r="Z14" s="9"/>
      <c r="AA14" s="10"/>
      <c r="AB14" s="9"/>
      <c r="AC14" s="10"/>
      <c r="AD14" s="9"/>
      <c r="AE14" s="10"/>
      <c r="AF14" s="9"/>
      <c r="AG14" s="10"/>
      <c r="AH14" s="9"/>
      <c r="AI14" s="10"/>
      <c r="AJ14" s="9"/>
      <c r="AK14" s="10"/>
      <c r="AL14" s="9"/>
      <c r="AM14" s="10"/>
      <c r="AN14" s="9"/>
      <c r="AO14" s="10"/>
    </row>
    <row r="15" spans="1:44" ht="29.25" customHeight="1" thickBot="1" x14ac:dyDescent="0.45">
      <c r="A15" s="26" t="e">
        <f>'PEGAR ACA'!#REF!</f>
        <v>#REF!</v>
      </c>
      <c r="B15" s="25" t="e">
        <f>'PEGAR ACA'!#REF!</f>
        <v>#REF!</v>
      </c>
      <c r="C15" s="18"/>
      <c r="D15" s="69"/>
      <c r="E15" s="10"/>
      <c r="F15" s="9"/>
      <c r="G15" s="10"/>
      <c r="H15" s="9"/>
      <c r="I15" s="10"/>
      <c r="J15" s="9"/>
      <c r="K15" s="10"/>
      <c r="L15" s="9"/>
      <c r="M15" s="10"/>
      <c r="N15" s="9"/>
      <c r="O15" s="10"/>
      <c r="P15" s="9"/>
      <c r="Q15" s="10"/>
      <c r="R15" s="9"/>
      <c r="S15" s="10"/>
      <c r="T15" s="9"/>
      <c r="U15" s="10"/>
      <c r="V15" s="9"/>
      <c r="W15" s="10"/>
      <c r="X15" s="9"/>
      <c r="Y15" s="10"/>
      <c r="Z15" s="9"/>
      <c r="AA15" s="10"/>
      <c r="AB15" s="9"/>
      <c r="AC15" s="10"/>
      <c r="AD15" s="9"/>
      <c r="AE15" s="10"/>
      <c r="AF15" s="9"/>
      <c r="AG15" s="10"/>
      <c r="AH15" s="9"/>
      <c r="AI15" s="10"/>
      <c r="AJ15" s="9"/>
      <c r="AK15" s="10"/>
      <c r="AL15" s="9"/>
      <c r="AM15" s="10"/>
      <c r="AN15" s="9"/>
      <c r="AO15" s="10"/>
    </row>
    <row r="16" spans="1:44" s="57" customFormat="1" ht="29.25" customHeight="1" x14ac:dyDescent="0.4">
      <c r="A16" s="24" t="e">
        <f>'PEGAR ACA'!#REF!</f>
        <v>#REF!</v>
      </c>
      <c r="B16" s="27" t="e">
        <f>'PEGAR ACA'!#REF!</f>
        <v>#REF!</v>
      </c>
      <c r="C16" s="18"/>
      <c r="D16" s="69"/>
      <c r="E16" s="10"/>
      <c r="F16" s="9"/>
      <c r="G16" s="10"/>
      <c r="H16" s="9"/>
      <c r="I16" s="10"/>
      <c r="J16" s="9"/>
      <c r="K16" s="10"/>
      <c r="L16" s="9"/>
      <c r="M16" s="10"/>
      <c r="N16" s="9"/>
      <c r="O16" s="10"/>
      <c r="P16" s="9"/>
      <c r="Q16" s="10"/>
      <c r="R16" s="9"/>
      <c r="S16" s="10"/>
      <c r="T16" s="9"/>
      <c r="U16" s="10"/>
      <c r="V16" s="9"/>
      <c r="W16" s="10"/>
      <c r="X16" s="9"/>
      <c r="Y16" s="10"/>
      <c r="Z16" s="9"/>
      <c r="AA16" s="10"/>
      <c r="AB16" s="9"/>
      <c r="AC16" s="10"/>
      <c r="AD16" s="9"/>
      <c r="AE16" s="10"/>
      <c r="AF16" s="9"/>
      <c r="AG16" s="10"/>
      <c r="AH16" s="9"/>
      <c r="AI16" s="10"/>
      <c r="AJ16" s="9"/>
      <c r="AK16" s="10"/>
      <c r="AL16" s="9"/>
      <c r="AM16" s="10"/>
      <c r="AN16" s="9"/>
      <c r="AO16" s="10"/>
    </row>
    <row r="17" spans="1:41" ht="29.25" customHeight="1" x14ac:dyDescent="0.4">
      <c r="A17" s="14" t="e">
        <f>'PEGAR ACA'!#REF!</f>
        <v>#REF!</v>
      </c>
      <c r="B17" s="27" t="e">
        <f>'PEGAR ACA'!#REF!</f>
        <v>#REF!</v>
      </c>
      <c r="C17" s="18"/>
      <c r="D17" s="69"/>
      <c r="E17" s="10"/>
      <c r="F17" s="9"/>
      <c r="G17" s="10"/>
      <c r="H17" s="9"/>
      <c r="I17" s="10"/>
      <c r="J17" s="9"/>
      <c r="K17" s="10"/>
      <c r="L17" s="9"/>
      <c r="M17" s="10"/>
      <c r="N17" s="9"/>
      <c r="O17" s="10"/>
      <c r="P17" s="9"/>
      <c r="Q17" s="10"/>
      <c r="R17" s="9"/>
      <c r="S17" s="10"/>
      <c r="T17" s="9"/>
      <c r="U17" s="10"/>
      <c r="V17" s="9"/>
      <c r="W17" s="10"/>
      <c r="X17" s="9"/>
      <c r="Y17" s="10"/>
      <c r="Z17" s="9"/>
      <c r="AA17" s="10"/>
      <c r="AB17" s="9"/>
      <c r="AC17" s="10"/>
      <c r="AD17" s="9"/>
      <c r="AE17" s="10"/>
      <c r="AF17" s="9"/>
      <c r="AG17" s="10"/>
      <c r="AH17" s="9"/>
      <c r="AI17" s="10"/>
      <c r="AJ17" s="9"/>
      <c r="AK17" s="10"/>
      <c r="AL17" s="9"/>
      <c r="AM17" s="10"/>
      <c r="AN17" s="9"/>
      <c r="AO17" s="10"/>
    </row>
    <row r="18" spans="1:41" ht="29.25" customHeight="1" x14ac:dyDescent="0.4">
      <c r="A18" s="14" t="e">
        <f>'PEGAR ACA'!#REF!</f>
        <v>#REF!</v>
      </c>
      <c r="B18" s="27" t="e">
        <f>'PEGAR ACA'!#REF!</f>
        <v>#REF!</v>
      </c>
      <c r="C18" s="18"/>
      <c r="D18" s="69"/>
      <c r="E18" s="10"/>
      <c r="F18" s="9"/>
      <c r="G18" s="10"/>
      <c r="H18" s="9"/>
      <c r="I18" s="10"/>
      <c r="J18" s="9"/>
      <c r="K18" s="10"/>
      <c r="L18" s="9"/>
      <c r="M18" s="10"/>
      <c r="N18" s="9"/>
      <c r="O18" s="10"/>
      <c r="P18" s="9"/>
      <c r="Q18" s="10"/>
      <c r="R18" s="9"/>
      <c r="S18" s="10"/>
      <c r="T18" s="9"/>
      <c r="U18" s="10"/>
      <c r="V18" s="9"/>
      <c r="W18" s="10"/>
      <c r="X18" s="9"/>
      <c r="Y18" s="10"/>
      <c r="Z18" s="9"/>
      <c r="AA18" s="10"/>
      <c r="AB18" s="9"/>
      <c r="AC18" s="10"/>
      <c r="AD18" s="9"/>
      <c r="AE18" s="10"/>
      <c r="AF18" s="9"/>
      <c r="AG18" s="10"/>
      <c r="AH18" s="9"/>
      <c r="AI18" s="10"/>
      <c r="AJ18" s="9"/>
      <c r="AK18" s="10"/>
      <c r="AL18" s="9"/>
      <c r="AM18" s="10"/>
      <c r="AN18" s="9"/>
      <c r="AO18" s="10"/>
    </row>
    <row r="19" spans="1:41" ht="29.25" customHeight="1" x14ac:dyDescent="0.4">
      <c r="A19" s="14" t="e">
        <f>'PEGAR ACA'!#REF!</f>
        <v>#REF!</v>
      </c>
      <c r="B19" s="27" t="e">
        <f>'PEGAR ACA'!#REF!</f>
        <v>#REF!</v>
      </c>
      <c r="C19" s="18"/>
      <c r="D19" s="69"/>
      <c r="E19" s="10"/>
      <c r="F19" s="9"/>
      <c r="G19" s="10"/>
      <c r="H19" s="9"/>
      <c r="I19" s="10"/>
      <c r="J19" s="9"/>
      <c r="K19" s="10"/>
      <c r="L19" s="9"/>
      <c r="M19" s="10"/>
      <c r="N19" s="9"/>
      <c r="O19" s="10"/>
      <c r="P19" s="9"/>
      <c r="Q19" s="10"/>
      <c r="R19" s="9"/>
      <c r="S19" s="10"/>
      <c r="T19" s="9"/>
      <c r="U19" s="10"/>
      <c r="V19" s="9"/>
      <c r="W19" s="10"/>
      <c r="X19" s="9"/>
      <c r="Y19" s="10"/>
      <c r="Z19" s="9"/>
      <c r="AA19" s="10"/>
      <c r="AB19" s="9"/>
      <c r="AC19" s="10"/>
      <c r="AD19" s="9"/>
      <c r="AE19" s="10"/>
      <c r="AF19" s="9"/>
      <c r="AG19" s="10"/>
      <c r="AH19" s="9"/>
      <c r="AI19" s="10"/>
      <c r="AJ19" s="9"/>
      <c r="AK19" s="10"/>
      <c r="AL19" s="9"/>
      <c r="AM19" s="10"/>
      <c r="AN19" s="9"/>
      <c r="AO19" s="10"/>
    </row>
    <row r="20" spans="1:41" ht="29.25" customHeight="1" x14ac:dyDescent="0.4">
      <c r="A20" s="14" t="e">
        <f>'PEGAR ACA'!#REF!</f>
        <v>#REF!</v>
      </c>
      <c r="B20" s="27" t="e">
        <f>'PEGAR ACA'!#REF!</f>
        <v>#REF!</v>
      </c>
      <c r="C20" s="18"/>
      <c r="D20" s="69"/>
      <c r="E20" s="10"/>
      <c r="F20" s="9"/>
      <c r="G20" s="10"/>
      <c r="H20" s="9"/>
      <c r="I20" s="10"/>
      <c r="J20" s="9"/>
      <c r="K20" s="10"/>
      <c r="L20" s="9"/>
      <c r="M20" s="10"/>
      <c r="N20" s="9"/>
      <c r="O20" s="10"/>
      <c r="P20" s="9"/>
      <c r="Q20" s="10"/>
      <c r="R20" s="9"/>
      <c r="S20" s="10"/>
      <c r="T20" s="9"/>
      <c r="U20" s="10"/>
      <c r="V20" s="9"/>
      <c r="W20" s="10"/>
      <c r="X20" s="9"/>
      <c r="Y20" s="10"/>
      <c r="Z20" s="9"/>
      <c r="AA20" s="10"/>
      <c r="AB20" s="9"/>
      <c r="AC20" s="10"/>
      <c r="AD20" s="9"/>
      <c r="AE20" s="10"/>
      <c r="AF20" s="9"/>
      <c r="AG20" s="10"/>
      <c r="AH20" s="9"/>
      <c r="AI20" s="10"/>
      <c r="AJ20" s="9"/>
      <c r="AK20" s="10"/>
      <c r="AL20" s="9"/>
      <c r="AM20" s="10"/>
      <c r="AN20" s="9"/>
      <c r="AO20" s="10"/>
    </row>
    <row r="21" spans="1:41" ht="29.25" customHeight="1" x14ac:dyDescent="0.4">
      <c r="A21" s="14" t="e">
        <f>'PEGAR ACA'!#REF!</f>
        <v>#REF!</v>
      </c>
      <c r="B21" s="27" t="e">
        <f>'PEGAR ACA'!#REF!</f>
        <v>#REF!</v>
      </c>
      <c r="C21" s="18"/>
      <c r="D21" s="69"/>
      <c r="E21" s="10"/>
      <c r="F21" s="9"/>
      <c r="G21" s="10"/>
      <c r="H21" s="9"/>
      <c r="I21" s="10"/>
      <c r="J21" s="9"/>
      <c r="K21" s="10"/>
      <c r="L21" s="9"/>
      <c r="M21" s="10"/>
      <c r="N21" s="9"/>
      <c r="O21" s="10"/>
      <c r="P21" s="9"/>
      <c r="Q21" s="10"/>
      <c r="R21" s="9"/>
      <c r="S21" s="10"/>
      <c r="T21" s="9"/>
      <c r="U21" s="10"/>
      <c r="V21" s="9"/>
      <c r="W21" s="10"/>
      <c r="X21" s="9"/>
      <c r="Y21" s="10"/>
      <c r="Z21" s="9"/>
      <c r="AA21" s="10"/>
      <c r="AB21" s="9"/>
      <c r="AC21" s="10"/>
      <c r="AD21" s="9"/>
      <c r="AE21" s="10"/>
      <c r="AF21" s="9"/>
      <c r="AG21" s="10"/>
      <c r="AH21" s="9"/>
      <c r="AI21" s="10"/>
      <c r="AJ21" s="9"/>
      <c r="AK21" s="10"/>
      <c r="AL21" s="9"/>
      <c r="AM21" s="10"/>
      <c r="AN21" s="9"/>
      <c r="AO21" s="10"/>
    </row>
    <row r="22" spans="1:41" ht="29.25" customHeight="1" x14ac:dyDescent="0.4">
      <c r="A22" s="14" t="e">
        <f>'PEGAR ACA'!#REF!</f>
        <v>#REF!</v>
      </c>
      <c r="B22" s="27" t="e">
        <f>'PEGAR ACA'!#REF!</f>
        <v>#REF!</v>
      </c>
      <c r="C22" s="18"/>
      <c r="D22" s="69"/>
      <c r="E22" s="10"/>
      <c r="F22" s="9"/>
      <c r="G22" s="10"/>
      <c r="H22" s="9"/>
      <c r="I22" s="10"/>
      <c r="J22" s="9"/>
      <c r="K22" s="10"/>
      <c r="L22" s="9"/>
      <c r="M22" s="10"/>
      <c r="N22" s="9"/>
      <c r="O22" s="10"/>
      <c r="P22" s="9"/>
      <c r="Q22" s="10"/>
      <c r="R22" s="9"/>
      <c r="S22" s="10"/>
      <c r="T22" s="9"/>
      <c r="U22" s="10"/>
      <c r="V22" s="9"/>
      <c r="W22" s="10"/>
      <c r="X22" s="9"/>
      <c r="Y22" s="10"/>
      <c r="Z22" s="9"/>
      <c r="AA22" s="10"/>
      <c r="AB22" s="9"/>
      <c r="AC22" s="10"/>
      <c r="AD22" s="9"/>
      <c r="AE22" s="10"/>
      <c r="AF22" s="9"/>
      <c r="AG22" s="10"/>
      <c r="AH22" s="9"/>
      <c r="AI22" s="10"/>
      <c r="AJ22" s="9"/>
      <c r="AK22" s="10"/>
      <c r="AL22" s="9"/>
      <c r="AM22" s="10"/>
      <c r="AN22" s="9"/>
      <c r="AO22" s="10"/>
    </row>
    <row r="23" spans="1:41" ht="29.25" customHeight="1" x14ac:dyDescent="0.4">
      <c r="A23" s="14" t="e">
        <f>'PEGAR ACA'!#REF!</f>
        <v>#REF!</v>
      </c>
      <c r="B23" s="27" t="e">
        <f>'PEGAR ACA'!#REF!</f>
        <v>#REF!</v>
      </c>
      <c r="C23" s="18"/>
      <c r="D23" s="69"/>
      <c r="E23" s="10"/>
      <c r="F23" s="9"/>
      <c r="G23" s="10"/>
      <c r="H23" s="9"/>
      <c r="I23" s="10"/>
      <c r="J23" s="9"/>
      <c r="K23" s="10"/>
      <c r="L23" s="9"/>
      <c r="M23" s="10"/>
      <c r="N23" s="9"/>
      <c r="O23" s="10"/>
      <c r="P23" s="9"/>
      <c r="Q23" s="10"/>
      <c r="R23" s="9"/>
      <c r="S23" s="10"/>
      <c r="T23" s="9"/>
      <c r="U23" s="10"/>
      <c r="V23" s="9"/>
      <c r="W23" s="10"/>
      <c r="X23" s="9"/>
      <c r="Y23" s="10"/>
      <c r="Z23" s="9"/>
      <c r="AA23" s="10"/>
      <c r="AB23" s="9"/>
      <c r="AC23" s="10"/>
      <c r="AD23" s="9"/>
      <c r="AE23" s="10"/>
      <c r="AF23" s="9"/>
      <c r="AG23" s="10"/>
      <c r="AH23" s="9"/>
      <c r="AI23" s="10"/>
      <c r="AJ23" s="9"/>
      <c r="AK23" s="10"/>
      <c r="AL23" s="9"/>
      <c r="AM23" s="10"/>
      <c r="AN23" s="9"/>
      <c r="AO23" s="10"/>
    </row>
    <row r="24" spans="1:41" ht="29.25" customHeight="1" x14ac:dyDescent="0.4">
      <c r="A24" s="14" t="e">
        <f>'PEGAR ACA'!#REF!</f>
        <v>#REF!</v>
      </c>
      <c r="B24" s="27" t="e">
        <f>'PEGAR ACA'!#REF!</f>
        <v>#REF!</v>
      </c>
      <c r="C24" s="18"/>
      <c r="D24" s="69"/>
      <c r="E24" s="10"/>
      <c r="F24" s="9"/>
      <c r="G24" s="10"/>
      <c r="H24" s="9"/>
      <c r="I24" s="10"/>
      <c r="J24" s="9"/>
      <c r="K24" s="10"/>
      <c r="L24" s="9"/>
      <c r="M24" s="10"/>
      <c r="N24" s="9"/>
      <c r="O24" s="10"/>
      <c r="P24" s="9"/>
      <c r="Q24" s="10"/>
      <c r="R24" s="9"/>
      <c r="S24" s="10"/>
      <c r="T24" s="9"/>
      <c r="U24" s="10"/>
      <c r="V24" s="9"/>
      <c r="W24" s="10"/>
      <c r="X24" s="9"/>
      <c r="Y24" s="10"/>
      <c r="Z24" s="9"/>
      <c r="AA24" s="10"/>
      <c r="AB24" s="9"/>
      <c r="AC24" s="10"/>
      <c r="AD24" s="9"/>
      <c r="AE24" s="10"/>
      <c r="AF24" s="9"/>
      <c r="AG24" s="10"/>
      <c r="AH24" s="9"/>
      <c r="AI24" s="10"/>
      <c r="AJ24" s="9"/>
      <c r="AK24" s="10"/>
      <c r="AL24" s="9"/>
      <c r="AM24" s="10"/>
      <c r="AN24" s="9"/>
      <c r="AO24" s="10"/>
    </row>
    <row r="25" spans="1:41" ht="29.25" customHeight="1" x14ac:dyDescent="0.4">
      <c r="A25" s="14" t="e">
        <f>'PEGAR ACA'!#REF!</f>
        <v>#REF!</v>
      </c>
      <c r="B25" s="27" t="e">
        <f>'PEGAR ACA'!#REF!</f>
        <v>#REF!</v>
      </c>
      <c r="C25" s="18"/>
      <c r="D25" s="69"/>
      <c r="E25" s="10"/>
      <c r="F25" s="9"/>
      <c r="G25" s="10"/>
      <c r="H25" s="9"/>
      <c r="I25" s="10"/>
      <c r="J25" s="9"/>
      <c r="K25" s="10"/>
      <c r="L25" s="9"/>
      <c r="M25" s="10"/>
      <c r="N25" s="9"/>
      <c r="O25" s="10"/>
      <c r="P25" s="9"/>
      <c r="Q25" s="10"/>
      <c r="R25" s="9"/>
      <c r="S25" s="10"/>
      <c r="T25" s="9"/>
      <c r="U25" s="10"/>
      <c r="V25" s="9"/>
      <c r="W25" s="10"/>
      <c r="X25" s="9"/>
      <c r="Y25" s="10"/>
      <c r="Z25" s="9"/>
      <c r="AA25" s="10"/>
      <c r="AB25" s="9"/>
      <c r="AC25" s="10"/>
      <c r="AD25" s="9"/>
      <c r="AE25" s="10"/>
      <c r="AF25" s="9"/>
      <c r="AG25" s="10"/>
      <c r="AH25" s="9"/>
      <c r="AI25" s="10"/>
      <c r="AJ25" s="9"/>
      <c r="AK25" s="10"/>
      <c r="AL25" s="9"/>
      <c r="AM25" s="10"/>
      <c r="AN25" s="9"/>
      <c r="AO25" s="10"/>
    </row>
    <row r="26" spans="1:41" ht="29.25" customHeight="1" x14ac:dyDescent="0.4">
      <c r="A26" s="50" t="e">
        <f>'PEGAR ACA'!#REF!</f>
        <v>#REF!</v>
      </c>
      <c r="B26" s="27" t="e">
        <f>'PEGAR ACA'!#REF!</f>
        <v>#REF!</v>
      </c>
      <c r="C26" s="46"/>
      <c r="D26" s="70"/>
      <c r="E26" s="47"/>
      <c r="F26" s="48"/>
      <c r="G26" s="47"/>
      <c r="H26" s="48"/>
      <c r="I26" s="47"/>
      <c r="J26" s="48"/>
      <c r="K26" s="47"/>
      <c r="L26" s="48"/>
      <c r="M26" s="47"/>
      <c r="N26" s="48"/>
      <c r="O26" s="47"/>
      <c r="P26" s="48"/>
      <c r="Q26" s="47"/>
      <c r="R26" s="48"/>
      <c r="S26" s="47"/>
      <c r="T26" s="48"/>
      <c r="U26" s="47"/>
      <c r="V26" s="48"/>
      <c r="W26" s="47"/>
      <c r="X26" s="48"/>
      <c r="Y26" s="47"/>
      <c r="Z26" s="48"/>
      <c r="AA26" s="47"/>
      <c r="AB26" s="48"/>
      <c r="AC26" s="47"/>
      <c r="AD26" s="48"/>
      <c r="AE26" s="47"/>
      <c r="AF26" s="48"/>
      <c r="AG26" s="47"/>
      <c r="AH26" s="48"/>
      <c r="AI26" s="47"/>
      <c r="AJ26" s="48"/>
      <c r="AK26" s="47"/>
      <c r="AL26" s="48"/>
      <c r="AM26" s="47"/>
      <c r="AN26" s="48"/>
      <c r="AO26" s="47"/>
    </row>
    <row r="27" spans="1:41" ht="29.25" customHeight="1" x14ac:dyDescent="0.4">
      <c r="A27" s="49" t="e">
        <f>'PEGAR ACA'!#REF!</f>
        <v>#REF!</v>
      </c>
      <c r="B27" s="52" t="e">
        <f>'PEGAR ACA'!#REF!</f>
        <v>#REF!</v>
      </c>
      <c r="C27" s="18"/>
      <c r="D27" s="69"/>
      <c r="E27" s="10"/>
      <c r="F27" s="9"/>
      <c r="G27" s="10"/>
      <c r="H27" s="9"/>
      <c r="I27" s="10"/>
      <c r="J27" s="9"/>
      <c r="K27" s="10"/>
      <c r="L27" s="9"/>
      <c r="M27" s="10"/>
      <c r="N27" s="9"/>
      <c r="O27" s="10"/>
      <c r="P27" s="9"/>
      <c r="Q27" s="10"/>
      <c r="R27" s="9"/>
      <c r="S27" s="10"/>
      <c r="T27" s="9"/>
      <c r="U27" s="10"/>
      <c r="V27" s="9"/>
      <c r="W27" s="10"/>
      <c r="X27" s="9"/>
      <c r="Y27" s="10"/>
      <c r="Z27" s="9"/>
      <c r="AA27" s="10"/>
      <c r="AB27" s="9"/>
      <c r="AC27" s="10"/>
      <c r="AD27" s="9"/>
      <c r="AE27" s="10"/>
      <c r="AF27" s="9"/>
      <c r="AG27" s="10"/>
      <c r="AH27" s="9"/>
      <c r="AI27" s="10"/>
      <c r="AJ27" s="9"/>
      <c r="AK27" s="10"/>
      <c r="AL27" s="9"/>
      <c r="AM27" s="10"/>
      <c r="AN27" s="9"/>
      <c r="AO27" s="10"/>
    </row>
    <row r="28" spans="1:41" ht="29.25" customHeight="1" x14ac:dyDescent="0.4">
      <c r="A28" s="24" t="e">
        <f>'PEGAR ACA'!#REF!</f>
        <v>#REF!</v>
      </c>
      <c r="B28" s="27" t="e">
        <f>'PEGAR ACA'!#REF!</f>
        <v>#REF!</v>
      </c>
      <c r="C28" s="44"/>
      <c r="D28" s="71"/>
      <c r="E28" s="45"/>
      <c r="F28" s="43"/>
      <c r="G28" s="45"/>
      <c r="H28" s="43"/>
      <c r="I28" s="45"/>
      <c r="J28" s="43"/>
      <c r="K28" s="45"/>
      <c r="L28" s="43"/>
      <c r="M28" s="45"/>
      <c r="N28" s="43"/>
      <c r="O28" s="45"/>
      <c r="P28" s="43"/>
      <c r="Q28" s="45"/>
      <c r="R28" s="43"/>
      <c r="S28" s="45"/>
      <c r="T28" s="43"/>
      <c r="U28" s="45"/>
      <c r="V28" s="43"/>
      <c r="W28" s="45"/>
      <c r="X28" s="43"/>
      <c r="Y28" s="45"/>
      <c r="Z28" s="43"/>
      <c r="AA28" s="45"/>
      <c r="AB28" s="43"/>
      <c r="AC28" s="45"/>
      <c r="AD28" s="43"/>
      <c r="AE28" s="45"/>
      <c r="AF28" s="43"/>
      <c r="AG28" s="45"/>
      <c r="AH28" s="43"/>
      <c r="AI28" s="45"/>
      <c r="AJ28" s="43"/>
      <c r="AK28" s="45"/>
      <c r="AL28" s="43"/>
      <c r="AM28" s="45"/>
      <c r="AN28" s="43"/>
      <c r="AO28" s="45"/>
    </row>
    <row r="29" spans="1:41" ht="29.25" customHeight="1" x14ac:dyDescent="0.4">
      <c r="A29" s="14" t="e">
        <f>'PEGAR ACA'!#REF!</f>
        <v>#REF!</v>
      </c>
      <c r="B29" s="27" t="e">
        <f>'PEGAR ACA'!#REF!</f>
        <v>#REF!</v>
      </c>
      <c r="C29" s="18"/>
      <c r="D29" s="69"/>
      <c r="E29" s="10"/>
      <c r="F29" s="9"/>
      <c r="G29" s="10"/>
      <c r="H29" s="9"/>
      <c r="I29" s="10"/>
      <c r="J29" s="9"/>
      <c r="K29" s="10"/>
      <c r="L29" s="9"/>
      <c r="M29" s="10"/>
      <c r="N29" s="9"/>
      <c r="O29" s="10"/>
      <c r="P29" s="9"/>
      <c r="Q29" s="10"/>
      <c r="R29" s="9"/>
      <c r="S29" s="10"/>
      <c r="T29" s="9"/>
      <c r="U29" s="10"/>
      <c r="V29" s="9"/>
      <c r="W29" s="10"/>
      <c r="X29" s="9"/>
      <c r="Y29" s="10"/>
      <c r="Z29" s="9"/>
      <c r="AA29" s="10"/>
      <c r="AB29" s="9"/>
      <c r="AC29" s="10"/>
      <c r="AD29" s="9"/>
      <c r="AE29" s="10"/>
      <c r="AF29" s="9"/>
      <c r="AG29" s="10"/>
      <c r="AH29" s="9"/>
      <c r="AI29" s="10"/>
      <c r="AJ29" s="9"/>
      <c r="AK29" s="10"/>
      <c r="AL29" s="9"/>
      <c r="AM29" s="10"/>
      <c r="AN29" s="9"/>
      <c r="AO29" s="10"/>
    </row>
    <row r="30" spans="1:41" ht="29.25" customHeight="1" x14ac:dyDescent="0.4">
      <c r="A30" s="14" t="e">
        <f>'PEGAR ACA'!#REF!</f>
        <v>#REF!</v>
      </c>
      <c r="B30" s="27" t="e">
        <f>'PEGAR ACA'!#REF!</f>
        <v>#REF!</v>
      </c>
      <c r="C30" s="18"/>
      <c r="D30" s="69"/>
      <c r="E30" s="10"/>
      <c r="F30" s="9"/>
      <c r="G30" s="10"/>
      <c r="H30" s="9"/>
      <c r="I30" s="10"/>
      <c r="J30" s="9"/>
      <c r="K30" s="10"/>
      <c r="L30" s="9"/>
      <c r="M30" s="10"/>
      <c r="N30" s="9"/>
      <c r="O30" s="10"/>
      <c r="P30" s="9"/>
      <c r="Q30" s="10"/>
      <c r="R30" s="9"/>
      <c r="S30" s="10"/>
      <c r="T30" s="9"/>
      <c r="U30" s="10"/>
      <c r="V30" s="9"/>
      <c r="W30" s="10"/>
      <c r="X30" s="9"/>
      <c r="Y30" s="10"/>
      <c r="Z30" s="9"/>
      <c r="AA30" s="10"/>
      <c r="AB30" s="9"/>
      <c r="AC30" s="10"/>
      <c r="AD30" s="9"/>
      <c r="AE30" s="10"/>
      <c r="AF30" s="9"/>
      <c r="AG30" s="10"/>
      <c r="AH30" s="9"/>
      <c r="AI30" s="10"/>
      <c r="AJ30" s="9"/>
      <c r="AK30" s="10"/>
      <c r="AL30" s="9"/>
      <c r="AM30" s="10"/>
      <c r="AN30" s="9"/>
      <c r="AO30" s="10"/>
    </row>
    <row r="31" spans="1:41" ht="29.25" customHeight="1" x14ac:dyDescent="0.4">
      <c r="A31" s="14" t="e">
        <f>'PEGAR ACA'!#REF!</f>
        <v>#REF!</v>
      </c>
      <c r="B31" s="27" t="e">
        <f>'PEGAR ACA'!#REF!</f>
        <v>#REF!</v>
      </c>
      <c r="C31" s="18"/>
      <c r="D31" s="69"/>
      <c r="E31" s="10"/>
      <c r="F31" s="9"/>
      <c r="G31" s="10"/>
      <c r="H31" s="9"/>
      <c r="I31" s="10"/>
      <c r="J31" s="9"/>
      <c r="K31" s="10"/>
      <c r="L31" s="9"/>
      <c r="M31" s="10"/>
      <c r="N31" s="9"/>
      <c r="O31" s="10"/>
      <c r="P31" s="9"/>
      <c r="Q31" s="10"/>
      <c r="R31" s="9"/>
      <c r="S31" s="10"/>
      <c r="T31" s="9"/>
      <c r="U31" s="10"/>
      <c r="V31" s="9"/>
      <c r="W31" s="10"/>
      <c r="X31" s="9"/>
      <c r="Y31" s="10"/>
      <c r="Z31" s="9"/>
      <c r="AA31" s="10"/>
      <c r="AB31" s="9"/>
      <c r="AC31" s="10"/>
      <c r="AD31" s="9"/>
      <c r="AE31" s="10"/>
      <c r="AF31" s="9"/>
      <c r="AG31" s="10"/>
      <c r="AH31" s="9"/>
      <c r="AI31" s="10"/>
      <c r="AJ31" s="9"/>
      <c r="AK31" s="10"/>
      <c r="AL31" s="9"/>
      <c r="AM31" s="10"/>
      <c r="AN31" s="9"/>
      <c r="AO31" s="10"/>
    </row>
    <row r="32" spans="1:41" ht="29.25" customHeight="1" x14ac:dyDescent="0.4">
      <c r="A32" s="14" t="e">
        <f>'PEGAR ACA'!#REF!</f>
        <v>#REF!</v>
      </c>
      <c r="B32" s="27" t="e">
        <f>'PEGAR ACA'!#REF!</f>
        <v>#REF!</v>
      </c>
      <c r="C32" s="18"/>
      <c r="D32" s="69"/>
      <c r="E32" s="10"/>
      <c r="F32" s="9"/>
      <c r="G32" s="10"/>
      <c r="H32" s="9"/>
      <c r="I32" s="10"/>
      <c r="J32" s="9"/>
      <c r="K32" s="10"/>
      <c r="L32" s="9"/>
      <c r="M32" s="10"/>
      <c r="N32" s="9"/>
      <c r="O32" s="10"/>
      <c r="P32" s="9"/>
      <c r="Q32" s="10"/>
      <c r="R32" s="9"/>
      <c r="S32" s="10"/>
      <c r="T32" s="9"/>
      <c r="U32" s="10"/>
      <c r="V32" s="9"/>
      <c r="W32" s="10"/>
      <c r="X32" s="9"/>
      <c r="Y32" s="10"/>
      <c r="Z32" s="9"/>
      <c r="AA32" s="10"/>
      <c r="AB32" s="9"/>
      <c r="AC32" s="10"/>
      <c r="AD32" s="9"/>
      <c r="AE32" s="10"/>
      <c r="AF32" s="9"/>
      <c r="AG32" s="10"/>
      <c r="AH32" s="9"/>
      <c r="AI32" s="10"/>
      <c r="AJ32" s="9"/>
      <c r="AK32" s="10"/>
      <c r="AL32" s="9"/>
      <c r="AM32" s="10"/>
      <c r="AN32" s="9"/>
      <c r="AO32" s="10"/>
    </row>
    <row r="33" spans="1:41" ht="29.25" customHeight="1" x14ac:dyDescent="0.4">
      <c r="A33" s="14" t="e">
        <f>'PEGAR ACA'!#REF!</f>
        <v>#REF!</v>
      </c>
      <c r="B33" s="27" t="e">
        <f>'PEGAR ACA'!#REF!</f>
        <v>#REF!</v>
      </c>
      <c r="C33" s="18"/>
      <c r="D33" s="69"/>
      <c r="E33" s="10"/>
      <c r="F33" s="9"/>
      <c r="G33" s="10"/>
      <c r="H33" s="9"/>
      <c r="I33" s="10"/>
      <c r="J33" s="9"/>
      <c r="K33" s="10"/>
      <c r="L33" s="9"/>
      <c r="M33" s="10"/>
      <c r="N33" s="9"/>
      <c r="O33" s="10"/>
      <c r="P33" s="9"/>
      <c r="Q33" s="10"/>
      <c r="R33" s="9"/>
      <c r="S33" s="10"/>
      <c r="T33" s="9"/>
      <c r="U33" s="10"/>
      <c r="V33" s="9"/>
      <c r="W33" s="10"/>
      <c r="X33" s="9"/>
      <c r="Y33" s="10"/>
      <c r="Z33" s="9"/>
      <c r="AA33" s="10"/>
      <c r="AB33" s="9"/>
      <c r="AC33" s="10"/>
      <c r="AD33" s="9"/>
      <c r="AE33" s="10"/>
      <c r="AF33" s="9"/>
      <c r="AG33" s="10"/>
      <c r="AH33" s="9"/>
      <c r="AI33" s="10"/>
      <c r="AJ33" s="9"/>
      <c r="AK33" s="10"/>
      <c r="AL33" s="9"/>
      <c r="AM33" s="10"/>
      <c r="AN33" s="9"/>
      <c r="AO33" s="10"/>
    </row>
    <row r="34" spans="1:41" ht="29.25" customHeight="1" x14ac:dyDescent="0.4">
      <c r="A34" s="14" t="e">
        <f>'PEGAR ACA'!#REF!</f>
        <v>#REF!</v>
      </c>
      <c r="B34" s="27" t="e">
        <f>'PEGAR ACA'!#REF!</f>
        <v>#REF!</v>
      </c>
      <c r="C34" s="18"/>
      <c r="D34" s="69"/>
      <c r="E34" s="10"/>
      <c r="F34" s="9"/>
      <c r="G34" s="10"/>
      <c r="H34" s="9"/>
      <c r="I34" s="10"/>
      <c r="J34" s="9"/>
      <c r="K34" s="10"/>
      <c r="L34" s="9"/>
      <c r="M34" s="10"/>
      <c r="N34" s="9"/>
      <c r="O34" s="10"/>
      <c r="P34" s="9"/>
      <c r="Q34" s="10"/>
      <c r="R34" s="9"/>
      <c r="S34" s="10"/>
      <c r="T34" s="9"/>
      <c r="U34" s="10"/>
      <c r="V34" s="9"/>
      <c r="W34" s="10"/>
      <c r="X34" s="9"/>
      <c r="Y34" s="10"/>
      <c r="Z34" s="9"/>
      <c r="AA34" s="10"/>
      <c r="AB34" s="9"/>
      <c r="AC34" s="10"/>
      <c r="AD34" s="9"/>
      <c r="AE34" s="10"/>
      <c r="AF34" s="9"/>
      <c r="AG34" s="10"/>
      <c r="AH34" s="9"/>
      <c r="AI34" s="10"/>
      <c r="AJ34" s="9"/>
      <c r="AK34" s="10"/>
      <c r="AL34" s="9"/>
      <c r="AM34" s="10"/>
      <c r="AN34" s="9"/>
      <c r="AO34" s="10"/>
    </row>
    <row r="35" spans="1:41" ht="29.25" customHeight="1" x14ac:dyDescent="0.4">
      <c r="C35" s="18"/>
      <c r="D35" s="69"/>
      <c r="E35" s="10"/>
      <c r="F35" s="9"/>
      <c r="G35" s="10"/>
      <c r="H35" s="9"/>
      <c r="I35" s="10"/>
      <c r="J35" s="9"/>
      <c r="K35" s="10"/>
      <c r="L35" s="9"/>
      <c r="M35" s="10"/>
      <c r="N35" s="9"/>
      <c r="O35" s="10"/>
      <c r="P35" s="9"/>
      <c r="Q35" s="10"/>
      <c r="R35" s="9"/>
      <c r="S35" s="10"/>
      <c r="T35" s="9"/>
      <c r="U35" s="10"/>
      <c r="V35" s="9"/>
      <c r="W35" s="10"/>
      <c r="X35" s="9"/>
      <c r="Y35" s="10"/>
      <c r="Z35" s="9"/>
      <c r="AA35" s="10"/>
      <c r="AB35" s="9"/>
      <c r="AC35" s="10"/>
      <c r="AD35" s="9"/>
      <c r="AE35" s="10"/>
      <c r="AF35" s="9"/>
      <c r="AG35" s="10"/>
      <c r="AH35" s="9"/>
      <c r="AI35" s="10"/>
      <c r="AJ35" s="9"/>
      <c r="AK35" s="10"/>
      <c r="AL35" s="9"/>
      <c r="AM35" s="10"/>
      <c r="AN35" s="9"/>
      <c r="AO35" s="10"/>
    </row>
    <row r="36" spans="1:41" ht="29.25" customHeight="1" x14ac:dyDescent="0.4">
      <c r="C36" s="18"/>
      <c r="D36" s="69"/>
      <c r="E36" s="10"/>
      <c r="F36" s="9"/>
      <c r="G36" s="10"/>
      <c r="H36" s="9"/>
      <c r="I36" s="10"/>
      <c r="J36" s="9"/>
      <c r="K36" s="10"/>
      <c r="L36" s="9"/>
      <c r="M36" s="10"/>
      <c r="N36" s="9"/>
      <c r="O36" s="10"/>
      <c r="P36" s="9"/>
      <c r="Q36" s="10"/>
      <c r="R36" s="9"/>
      <c r="S36" s="10"/>
      <c r="T36" s="9"/>
      <c r="U36" s="10"/>
      <c r="V36" s="9"/>
      <c r="W36" s="10"/>
      <c r="X36" s="9"/>
      <c r="Y36" s="10"/>
      <c r="Z36" s="9"/>
      <c r="AA36" s="10"/>
      <c r="AB36" s="9"/>
      <c r="AC36" s="10"/>
      <c r="AD36" s="9"/>
      <c r="AE36" s="10"/>
      <c r="AF36" s="9"/>
      <c r="AG36" s="10"/>
      <c r="AH36" s="9"/>
      <c r="AI36" s="10"/>
      <c r="AJ36" s="9"/>
      <c r="AK36" s="10"/>
      <c r="AL36" s="9"/>
      <c r="AM36" s="10"/>
      <c r="AN36" s="9"/>
      <c r="AO36" s="10"/>
    </row>
    <row r="37" spans="1:41" ht="29.25" customHeight="1" x14ac:dyDescent="0.4">
      <c r="C37" s="18"/>
      <c r="D37" s="69"/>
      <c r="E37" s="10"/>
      <c r="F37" s="9"/>
      <c r="G37" s="10"/>
      <c r="H37" s="9"/>
      <c r="I37" s="10"/>
      <c r="J37" s="9"/>
      <c r="K37" s="10"/>
      <c r="L37" s="9"/>
      <c r="M37" s="10"/>
      <c r="N37" s="9"/>
      <c r="O37" s="10"/>
      <c r="P37" s="9"/>
      <c r="Q37" s="10"/>
      <c r="R37" s="9"/>
      <c r="S37" s="10"/>
      <c r="T37" s="9"/>
      <c r="U37" s="10"/>
      <c r="V37" s="9"/>
      <c r="W37" s="10"/>
      <c r="X37" s="9"/>
      <c r="Y37" s="10"/>
      <c r="Z37" s="9"/>
      <c r="AA37" s="10"/>
      <c r="AB37" s="9"/>
      <c r="AC37" s="10"/>
      <c r="AD37" s="9"/>
      <c r="AE37" s="10"/>
      <c r="AF37" s="9"/>
      <c r="AG37" s="10"/>
      <c r="AH37" s="9"/>
      <c r="AI37" s="10"/>
      <c r="AJ37" s="9"/>
      <c r="AK37" s="10"/>
      <c r="AL37" s="9"/>
      <c r="AM37" s="10"/>
      <c r="AN37" s="9"/>
      <c r="AO37" s="10"/>
    </row>
    <row r="38" spans="1:41" ht="29.25" customHeight="1" x14ac:dyDescent="0.4">
      <c r="C38" s="18"/>
      <c r="D38" s="69"/>
      <c r="E38" s="10"/>
      <c r="F38" s="9"/>
      <c r="G38" s="10"/>
      <c r="H38" s="9"/>
      <c r="I38" s="10"/>
      <c r="J38" s="9"/>
      <c r="K38" s="10"/>
      <c r="L38" s="9"/>
      <c r="M38" s="10"/>
      <c r="N38" s="9"/>
      <c r="O38" s="10"/>
      <c r="P38" s="9"/>
      <c r="Q38" s="10"/>
      <c r="R38" s="9"/>
      <c r="S38" s="10"/>
      <c r="T38" s="9"/>
      <c r="U38" s="10"/>
      <c r="V38" s="9"/>
      <c r="W38" s="10"/>
      <c r="X38" s="9"/>
      <c r="Y38" s="10"/>
      <c r="Z38" s="9"/>
      <c r="AA38" s="10"/>
      <c r="AB38" s="9"/>
      <c r="AC38" s="10"/>
      <c r="AD38" s="9"/>
      <c r="AE38" s="10"/>
      <c r="AF38" s="9"/>
      <c r="AG38" s="10"/>
      <c r="AH38" s="9"/>
      <c r="AI38" s="10"/>
      <c r="AJ38" s="9"/>
      <c r="AK38" s="10"/>
      <c r="AL38" s="9"/>
      <c r="AM38" s="10"/>
      <c r="AN38" s="9"/>
      <c r="AO38" s="10"/>
    </row>
  </sheetData>
  <mergeCells count="18">
    <mergeCell ref="AC3:AE3"/>
    <mergeCell ref="C1:AO1"/>
    <mergeCell ref="D2:M2"/>
    <mergeCell ref="Z2:AO2"/>
    <mergeCell ref="N2:Y2"/>
    <mergeCell ref="C3:C4"/>
    <mergeCell ref="D3:D4"/>
    <mergeCell ref="E3:G3"/>
    <mergeCell ref="H3:J3"/>
    <mergeCell ref="K3:M3"/>
    <mergeCell ref="AF3:AH3"/>
    <mergeCell ref="AI3:AK3"/>
    <mergeCell ref="AL3:AN3"/>
    <mergeCell ref="N3:P3"/>
    <mergeCell ref="Q3:S3"/>
    <mergeCell ref="T3:V3"/>
    <mergeCell ref="W3:Y3"/>
    <mergeCell ref="Z3:AB3"/>
  </mergeCells>
  <dataValidations count="1">
    <dataValidation type="list" allowBlank="1" showInputMessage="1" showErrorMessage="1" sqref="D2:M2" xr:uid="{00000000-0002-0000-0300-000000000000}">
      <formula1>AUDITOR</formula1>
    </dataValidation>
  </dataValidations>
  <pageMargins left="0.19685039370078741" right="0.19685039370078741" top="0.27559055118110237" bottom="0.19685039370078741" header="0.31496062992125984" footer="0.19685039370078741"/>
  <pageSetup scale="5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C106"/>
  <sheetViews>
    <sheetView workbookViewId="0">
      <selection activeCell="A2" sqref="A2:C38"/>
    </sheetView>
  </sheetViews>
  <sheetFormatPr baseColWidth="10" defaultRowHeight="15" x14ac:dyDescent="0.25"/>
  <cols>
    <col min="2" max="2" width="15.5703125" customWidth="1"/>
  </cols>
  <sheetData>
    <row r="1" spans="1:3" x14ac:dyDescent="0.25">
      <c r="A1" s="1" t="s">
        <v>4</v>
      </c>
      <c r="B1" s="1" t="s">
        <v>5</v>
      </c>
      <c r="C1" s="1" t="s">
        <v>6</v>
      </c>
    </row>
    <row r="2" spans="1:3" ht="15" customHeight="1" x14ac:dyDescent="0.25">
      <c r="A2" s="5">
        <v>3</v>
      </c>
      <c r="B2" s="3" t="s">
        <v>9</v>
      </c>
      <c r="C2" s="3" t="s">
        <v>1</v>
      </c>
    </row>
    <row r="3" spans="1:3" ht="15" customHeight="1" x14ac:dyDescent="0.25">
      <c r="A3" s="5">
        <v>10</v>
      </c>
      <c r="B3" s="3" t="s">
        <v>10</v>
      </c>
      <c r="C3" s="3" t="s">
        <v>2</v>
      </c>
    </row>
    <row r="4" spans="1:3" ht="15" customHeight="1" x14ac:dyDescent="0.25">
      <c r="A4" s="5">
        <v>11</v>
      </c>
      <c r="B4" s="3" t="s">
        <v>11</v>
      </c>
      <c r="C4" s="3" t="s">
        <v>1</v>
      </c>
    </row>
    <row r="5" spans="1:3" ht="15" customHeight="1" x14ac:dyDescent="0.25">
      <c r="A5" s="5">
        <v>14</v>
      </c>
      <c r="B5" s="3" t="s">
        <v>12</v>
      </c>
      <c r="C5" s="3" t="s">
        <v>1</v>
      </c>
    </row>
    <row r="6" spans="1:3" ht="15" customHeight="1" x14ac:dyDescent="0.25">
      <c r="A6" s="5">
        <v>15</v>
      </c>
      <c r="B6" s="3" t="s">
        <v>13</v>
      </c>
      <c r="C6" s="3" t="s">
        <v>1</v>
      </c>
    </row>
    <row r="7" spans="1:3" ht="15" customHeight="1" x14ac:dyDescent="0.25">
      <c r="A7" s="5">
        <v>16</v>
      </c>
      <c r="B7" s="3" t="s">
        <v>14</v>
      </c>
      <c r="C7" s="3" t="s">
        <v>1</v>
      </c>
    </row>
    <row r="8" spans="1:3" ht="15" customHeight="1" x14ac:dyDescent="0.25">
      <c r="A8" s="5">
        <v>17</v>
      </c>
      <c r="B8" s="3" t="s">
        <v>15</v>
      </c>
      <c r="C8" s="3" t="s">
        <v>2</v>
      </c>
    </row>
    <row r="9" spans="1:3" ht="15" customHeight="1" x14ac:dyDescent="0.25">
      <c r="A9" s="5">
        <v>18</v>
      </c>
      <c r="B9" s="3" t="s">
        <v>16</v>
      </c>
      <c r="C9" s="3" t="s">
        <v>2</v>
      </c>
    </row>
    <row r="10" spans="1:3" ht="15" customHeight="1" x14ac:dyDescent="0.25">
      <c r="A10" s="5">
        <v>19</v>
      </c>
      <c r="B10" s="3" t="s">
        <v>17</v>
      </c>
      <c r="C10" s="3" t="s">
        <v>1</v>
      </c>
    </row>
    <row r="11" spans="1:3" ht="15" customHeight="1" x14ac:dyDescent="0.25">
      <c r="A11" s="5">
        <v>26</v>
      </c>
      <c r="B11" s="3" t="s">
        <v>19</v>
      </c>
      <c r="C11" s="3" t="s">
        <v>2</v>
      </c>
    </row>
    <row r="12" spans="1:3" ht="15" customHeight="1" x14ac:dyDescent="0.25">
      <c r="A12" s="5">
        <v>28</v>
      </c>
      <c r="B12" s="3" t="s">
        <v>20</v>
      </c>
      <c r="C12" s="3" t="s">
        <v>128</v>
      </c>
    </row>
    <row r="13" spans="1:3" ht="15" customHeight="1" x14ac:dyDescent="0.25">
      <c r="A13" s="5">
        <v>29</v>
      </c>
      <c r="B13" s="3" t="s">
        <v>21</v>
      </c>
      <c r="C13" s="3" t="s">
        <v>2</v>
      </c>
    </row>
    <row r="14" spans="1:3" ht="15" customHeight="1" x14ac:dyDescent="0.25">
      <c r="A14" s="5">
        <v>36</v>
      </c>
      <c r="B14" s="3" t="s">
        <v>25</v>
      </c>
      <c r="C14" s="3" t="s">
        <v>128</v>
      </c>
    </row>
    <row r="15" spans="1:3" ht="15" customHeight="1" x14ac:dyDescent="0.25">
      <c r="A15" s="5">
        <v>37</v>
      </c>
      <c r="B15" s="3" t="s">
        <v>27</v>
      </c>
      <c r="C15" s="3" t="s">
        <v>128</v>
      </c>
    </row>
    <row r="16" spans="1:3" ht="15" customHeight="1" x14ac:dyDescent="0.25">
      <c r="A16" s="5">
        <v>38</v>
      </c>
      <c r="B16" s="3" t="s">
        <v>28</v>
      </c>
      <c r="C16" s="3" t="s">
        <v>128</v>
      </c>
    </row>
    <row r="17" spans="1:3" ht="15" customHeight="1" x14ac:dyDescent="0.25">
      <c r="A17" s="5">
        <v>40</v>
      </c>
      <c r="B17" s="3" t="s">
        <v>29</v>
      </c>
      <c r="C17" s="3" t="s">
        <v>3</v>
      </c>
    </row>
    <row r="18" spans="1:3" ht="15" customHeight="1" x14ac:dyDescent="0.25">
      <c r="A18" s="5">
        <v>42</v>
      </c>
      <c r="B18" s="3" t="s">
        <v>30</v>
      </c>
      <c r="C18" s="3" t="s">
        <v>128</v>
      </c>
    </row>
    <row r="19" spans="1:3" ht="15" customHeight="1" x14ac:dyDescent="0.25">
      <c r="A19" s="5">
        <v>43</v>
      </c>
      <c r="B19" s="3" t="s">
        <v>31</v>
      </c>
      <c r="C19" s="3" t="s">
        <v>3</v>
      </c>
    </row>
    <row r="20" spans="1:3" ht="15" customHeight="1" x14ac:dyDescent="0.25">
      <c r="A20" s="5">
        <v>44</v>
      </c>
      <c r="B20" s="3" t="s">
        <v>32</v>
      </c>
      <c r="C20" s="3" t="s">
        <v>1</v>
      </c>
    </row>
    <row r="21" spans="1:3" ht="15" customHeight="1" x14ac:dyDescent="0.25">
      <c r="A21" s="5">
        <v>45</v>
      </c>
      <c r="B21" s="3" t="s">
        <v>33</v>
      </c>
      <c r="C21" s="3" t="s">
        <v>3</v>
      </c>
    </row>
    <row r="22" spans="1:3" ht="15" customHeight="1" x14ac:dyDescent="0.25">
      <c r="A22" s="5">
        <v>47</v>
      </c>
      <c r="B22" s="3" t="s">
        <v>34</v>
      </c>
      <c r="C22" s="3" t="s">
        <v>128</v>
      </c>
    </row>
    <row r="23" spans="1:3" ht="15" customHeight="1" x14ac:dyDescent="0.25">
      <c r="A23" s="5">
        <v>48</v>
      </c>
      <c r="B23" s="3" t="s">
        <v>35</v>
      </c>
      <c r="C23" s="3" t="s">
        <v>2</v>
      </c>
    </row>
    <row r="24" spans="1:3" ht="15" customHeight="1" x14ac:dyDescent="0.25">
      <c r="A24" s="5">
        <v>49</v>
      </c>
      <c r="B24" s="3" t="s">
        <v>36</v>
      </c>
      <c r="C24" s="3" t="s">
        <v>3</v>
      </c>
    </row>
    <row r="25" spans="1:3" ht="15" customHeight="1" x14ac:dyDescent="0.25">
      <c r="A25" s="5">
        <v>55</v>
      </c>
      <c r="B25" s="3" t="s">
        <v>37</v>
      </c>
      <c r="C25" s="3" t="s">
        <v>127</v>
      </c>
    </row>
    <row r="26" spans="1:3" ht="15" customHeight="1" x14ac:dyDescent="0.25">
      <c r="A26" s="5">
        <v>68</v>
      </c>
      <c r="B26" s="3" t="s">
        <v>38</v>
      </c>
      <c r="C26" s="3" t="s">
        <v>127</v>
      </c>
    </row>
    <row r="27" spans="1:3" ht="15" customHeight="1" x14ac:dyDescent="0.25">
      <c r="A27" s="5">
        <v>70</v>
      </c>
      <c r="B27" s="3" t="s">
        <v>39</v>
      </c>
      <c r="C27" s="3" t="s">
        <v>1</v>
      </c>
    </row>
    <row r="28" spans="1:3" ht="15" customHeight="1" x14ac:dyDescent="0.25">
      <c r="A28" s="5">
        <v>71</v>
      </c>
      <c r="B28" s="3" t="s">
        <v>40</v>
      </c>
      <c r="C28" s="3" t="s">
        <v>2</v>
      </c>
    </row>
    <row r="29" spans="1:3" ht="15" customHeight="1" x14ac:dyDescent="0.25">
      <c r="A29" s="5">
        <v>72</v>
      </c>
      <c r="B29" s="3" t="s">
        <v>41</v>
      </c>
      <c r="C29" s="3" t="s">
        <v>1</v>
      </c>
    </row>
    <row r="30" spans="1:3" ht="15" customHeight="1" x14ac:dyDescent="0.25">
      <c r="A30" s="5">
        <v>73</v>
      </c>
      <c r="B30" s="3" t="s">
        <v>42</v>
      </c>
      <c r="C30" s="3" t="s">
        <v>2</v>
      </c>
    </row>
    <row r="31" spans="1:3" ht="15" customHeight="1" x14ac:dyDescent="0.25">
      <c r="A31" s="5">
        <v>74</v>
      </c>
      <c r="B31" s="3" t="s">
        <v>43</v>
      </c>
      <c r="C31" s="3" t="s">
        <v>2</v>
      </c>
    </row>
    <row r="32" spans="1:3" ht="15" customHeight="1" x14ac:dyDescent="0.25">
      <c r="A32" s="5">
        <v>76</v>
      </c>
      <c r="B32" s="3" t="s">
        <v>44</v>
      </c>
      <c r="C32" s="3" t="s">
        <v>128</v>
      </c>
    </row>
    <row r="33" spans="1:3" ht="15" customHeight="1" x14ac:dyDescent="0.25">
      <c r="A33" s="5">
        <v>77</v>
      </c>
      <c r="B33" s="3" t="s">
        <v>45</v>
      </c>
      <c r="C33" s="3" t="s">
        <v>2</v>
      </c>
    </row>
    <row r="34" spans="1:3" ht="15" customHeight="1" x14ac:dyDescent="0.25">
      <c r="A34" s="5">
        <v>78</v>
      </c>
      <c r="B34" s="3" t="s">
        <v>46</v>
      </c>
      <c r="C34" s="3" t="s">
        <v>2</v>
      </c>
    </row>
    <row r="35" spans="1:3" ht="15" customHeight="1" x14ac:dyDescent="0.25">
      <c r="A35" s="5">
        <v>79</v>
      </c>
      <c r="B35" s="3" t="s">
        <v>47</v>
      </c>
      <c r="C35" s="3" t="s">
        <v>2</v>
      </c>
    </row>
    <row r="36" spans="1:3" ht="15" customHeight="1" x14ac:dyDescent="0.25">
      <c r="A36" s="5">
        <v>83</v>
      </c>
      <c r="B36" s="3" t="s">
        <v>48</v>
      </c>
      <c r="C36" s="3" t="s">
        <v>3</v>
      </c>
    </row>
    <row r="37" spans="1:3" ht="15" customHeight="1" x14ac:dyDescent="0.25">
      <c r="A37" s="5">
        <v>86</v>
      </c>
      <c r="B37" s="3" t="s">
        <v>52</v>
      </c>
      <c r="C37" s="3" t="s">
        <v>3</v>
      </c>
    </row>
    <row r="38" spans="1:3" ht="15" customHeight="1" x14ac:dyDescent="0.25">
      <c r="A38" s="5">
        <v>87</v>
      </c>
      <c r="B38" s="3" t="s">
        <v>53</v>
      </c>
      <c r="C38" s="3" t="s">
        <v>3</v>
      </c>
    </row>
    <row r="39" spans="1:3" ht="15" customHeight="1" x14ac:dyDescent="0.25">
      <c r="A39" s="5">
        <v>88</v>
      </c>
      <c r="B39" s="3" t="s">
        <v>54</v>
      </c>
      <c r="C39" s="3" t="s">
        <v>3</v>
      </c>
    </row>
    <row r="40" spans="1:3" ht="15" customHeight="1" x14ac:dyDescent="0.25">
      <c r="A40" s="5">
        <v>97</v>
      </c>
      <c r="B40" s="3" t="s">
        <v>55</v>
      </c>
      <c r="C40" s="3" t="s">
        <v>128</v>
      </c>
    </row>
    <row r="41" spans="1:3" ht="15" customHeight="1" x14ac:dyDescent="0.25">
      <c r="A41" s="5">
        <v>112</v>
      </c>
      <c r="B41" s="3" t="s">
        <v>56</v>
      </c>
      <c r="C41" s="3" t="s">
        <v>126</v>
      </c>
    </row>
    <row r="42" spans="1:3" ht="15" customHeight="1" x14ac:dyDescent="0.25">
      <c r="A42" s="5">
        <v>124</v>
      </c>
      <c r="B42" s="3" t="s">
        <v>58</v>
      </c>
      <c r="C42" s="3" t="s">
        <v>2</v>
      </c>
    </row>
    <row r="43" spans="1:3" ht="15" customHeight="1" x14ac:dyDescent="0.25">
      <c r="A43" s="5">
        <v>143</v>
      </c>
      <c r="B43" s="3" t="s">
        <v>60</v>
      </c>
      <c r="C43" s="3" t="s">
        <v>128</v>
      </c>
    </row>
    <row r="44" spans="1:3" ht="15" customHeight="1" x14ac:dyDescent="0.25">
      <c r="A44" s="5">
        <v>167</v>
      </c>
      <c r="B44" s="3" t="s">
        <v>62</v>
      </c>
      <c r="C44" s="3" t="s">
        <v>1</v>
      </c>
    </row>
    <row r="45" spans="1:3" ht="15" customHeight="1" x14ac:dyDescent="0.25">
      <c r="A45" s="5">
        <v>174</v>
      </c>
      <c r="B45" s="3" t="s">
        <v>63</v>
      </c>
      <c r="C45" s="3" t="s">
        <v>3</v>
      </c>
    </row>
    <row r="46" spans="1:3" ht="15" customHeight="1" x14ac:dyDescent="0.25">
      <c r="A46" s="5">
        <v>177</v>
      </c>
      <c r="B46" s="3" t="s">
        <v>64</v>
      </c>
      <c r="C46" s="3" t="s">
        <v>3</v>
      </c>
    </row>
    <row r="47" spans="1:3" ht="15" customHeight="1" x14ac:dyDescent="0.25">
      <c r="A47" s="5">
        <v>179</v>
      </c>
      <c r="B47" s="3" t="s">
        <v>65</v>
      </c>
      <c r="C47" s="3" t="s">
        <v>128</v>
      </c>
    </row>
    <row r="48" spans="1:3" ht="15" customHeight="1" x14ac:dyDescent="0.25">
      <c r="A48" s="5">
        <v>184</v>
      </c>
      <c r="B48" s="3" t="s">
        <v>66</v>
      </c>
      <c r="C48" s="3" t="s">
        <v>3</v>
      </c>
    </row>
    <row r="49" spans="1:3" ht="15" customHeight="1" x14ac:dyDescent="0.25">
      <c r="A49" s="5">
        <v>185</v>
      </c>
      <c r="B49" s="3" t="s">
        <v>67</v>
      </c>
      <c r="C49" s="3" t="s">
        <v>128</v>
      </c>
    </row>
    <row r="50" spans="1:3" ht="15" customHeight="1" x14ac:dyDescent="0.25">
      <c r="A50" s="5">
        <v>186</v>
      </c>
      <c r="B50" s="3" t="s">
        <v>61</v>
      </c>
      <c r="C50" s="3" t="s">
        <v>126</v>
      </c>
    </row>
    <row r="51" spans="1:3" ht="15" customHeight="1" x14ac:dyDescent="0.25">
      <c r="A51" s="5">
        <v>187</v>
      </c>
      <c r="B51" s="3" t="s">
        <v>68</v>
      </c>
      <c r="C51" s="3" t="s">
        <v>126</v>
      </c>
    </row>
    <row r="52" spans="1:3" ht="15" customHeight="1" x14ac:dyDescent="0.25">
      <c r="A52" s="5">
        <v>191</v>
      </c>
      <c r="B52" s="3" t="s">
        <v>69</v>
      </c>
      <c r="C52" s="3" t="s">
        <v>1</v>
      </c>
    </row>
    <row r="53" spans="1:3" ht="15" customHeight="1" x14ac:dyDescent="0.25">
      <c r="A53" s="5">
        <v>193</v>
      </c>
      <c r="B53" s="3" t="s">
        <v>70</v>
      </c>
      <c r="C53" s="3" t="s">
        <v>1</v>
      </c>
    </row>
    <row r="54" spans="1:3" ht="15" customHeight="1" x14ac:dyDescent="0.25">
      <c r="A54" s="5">
        <v>195</v>
      </c>
      <c r="B54" s="3" t="s">
        <v>71</v>
      </c>
      <c r="C54" s="3" t="s">
        <v>128</v>
      </c>
    </row>
    <row r="55" spans="1:3" ht="15" customHeight="1" x14ac:dyDescent="0.25">
      <c r="A55" s="5">
        <v>250</v>
      </c>
      <c r="B55" s="3" t="s">
        <v>73</v>
      </c>
      <c r="C55" s="3" t="s">
        <v>1</v>
      </c>
    </row>
    <row r="56" spans="1:3" ht="15" customHeight="1" x14ac:dyDescent="0.25">
      <c r="A56" s="5">
        <v>251</v>
      </c>
      <c r="B56" s="3" t="s">
        <v>75</v>
      </c>
      <c r="C56" s="3" t="s">
        <v>2</v>
      </c>
    </row>
    <row r="57" spans="1:3" ht="15" customHeight="1" x14ac:dyDescent="0.25">
      <c r="A57" s="5">
        <v>252</v>
      </c>
      <c r="B57" s="3" t="s">
        <v>76</v>
      </c>
      <c r="C57" s="3" t="s">
        <v>1</v>
      </c>
    </row>
    <row r="58" spans="1:3" ht="15" customHeight="1" x14ac:dyDescent="0.25">
      <c r="A58" s="5">
        <v>253</v>
      </c>
      <c r="B58" s="3" t="s">
        <v>77</v>
      </c>
      <c r="C58" s="3" t="s">
        <v>1</v>
      </c>
    </row>
    <row r="59" spans="1:3" ht="15" customHeight="1" x14ac:dyDescent="0.25">
      <c r="A59" s="5">
        <v>254</v>
      </c>
      <c r="B59" s="3" t="s">
        <v>78</v>
      </c>
      <c r="C59" s="3" t="s">
        <v>1</v>
      </c>
    </row>
    <row r="60" spans="1:3" ht="15" customHeight="1" x14ac:dyDescent="0.25">
      <c r="A60" s="5">
        <v>255</v>
      </c>
      <c r="B60" s="3" t="s">
        <v>79</v>
      </c>
      <c r="C60" s="3" t="s">
        <v>1</v>
      </c>
    </row>
    <row r="61" spans="1:3" ht="15" customHeight="1" x14ac:dyDescent="0.25">
      <c r="A61" s="5">
        <v>256</v>
      </c>
      <c r="B61" s="3" t="s">
        <v>80</v>
      </c>
      <c r="C61" s="3" t="s">
        <v>2</v>
      </c>
    </row>
    <row r="62" spans="1:3" ht="15" customHeight="1" x14ac:dyDescent="0.25">
      <c r="A62" s="5">
        <v>257</v>
      </c>
      <c r="B62" s="3" t="s">
        <v>81</v>
      </c>
      <c r="C62" s="3" t="s">
        <v>2</v>
      </c>
    </row>
    <row r="63" spans="1:3" ht="15" customHeight="1" x14ac:dyDescent="0.25">
      <c r="A63" s="5">
        <v>259</v>
      </c>
      <c r="B63" s="3" t="s">
        <v>82</v>
      </c>
      <c r="C63" s="3" t="s">
        <v>1</v>
      </c>
    </row>
    <row r="64" spans="1:3" ht="15" customHeight="1" x14ac:dyDescent="0.25">
      <c r="A64" s="5">
        <v>260</v>
      </c>
      <c r="B64" s="3" t="s">
        <v>83</v>
      </c>
      <c r="C64" s="3" t="s">
        <v>2</v>
      </c>
    </row>
    <row r="65" spans="1:3" ht="15" customHeight="1" x14ac:dyDescent="0.25">
      <c r="A65" s="5">
        <v>261</v>
      </c>
      <c r="B65" s="3" t="s">
        <v>84</v>
      </c>
      <c r="C65" s="3" t="s">
        <v>128</v>
      </c>
    </row>
    <row r="66" spans="1:3" ht="15" customHeight="1" x14ac:dyDescent="0.25">
      <c r="A66" s="5">
        <v>262</v>
      </c>
      <c r="B66" s="3" t="s">
        <v>85</v>
      </c>
      <c r="C66" s="3" t="s">
        <v>2</v>
      </c>
    </row>
    <row r="67" spans="1:3" ht="15" customHeight="1" x14ac:dyDescent="0.25">
      <c r="A67" s="5">
        <v>263</v>
      </c>
      <c r="B67" s="3" t="s">
        <v>86</v>
      </c>
      <c r="C67" s="3" t="s">
        <v>128</v>
      </c>
    </row>
    <row r="68" spans="1:3" ht="15" customHeight="1" x14ac:dyDescent="0.25">
      <c r="A68" s="5">
        <v>264</v>
      </c>
      <c r="B68" s="3" t="s">
        <v>87</v>
      </c>
      <c r="C68" s="3" t="s">
        <v>128</v>
      </c>
    </row>
    <row r="69" spans="1:3" ht="15" customHeight="1" x14ac:dyDescent="0.25">
      <c r="A69" s="5">
        <v>265</v>
      </c>
      <c r="B69" s="3" t="s">
        <v>88</v>
      </c>
      <c r="C69" s="3" t="s">
        <v>1</v>
      </c>
    </row>
    <row r="70" spans="1:3" ht="15" customHeight="1" x14ac:dyDescent="0.25">
      <c r="A70" s="5">
        <v>266</v>
      </c>
      <c r="B70" s="3" t="s">
        <v>89</v>
      </c>
      <c r="C70" s="3" t="s">
        <v>128</v>
      </c>
    </row>
    <row r="71" spans="1:3" ht="15" customHeight="1" x14ac:dyDescent="0.25">
      <c r="A71" s="5">
        <v>267</v>
      </c>
      <c r="B71" s="3" t="s">
        <v>90</v>
      </c>
      <c r="C71" s="3" t="s">
        <v>2</v>
      </c>
    </row>
    <row r="72" spans="1:3" ht="15" customHeight="1" x14ac:dyDescent="0.25">
      <c r="A72" s="5">
        <v>268</v>
      </c>
      <c r="B72" s="3" t="s">
        <v>91</v>
      </c>
      <c r="C72" s="3" t="s">
        <v>1</v>
      </c>
    </row>
    <row r="73" spans="1:3" ht="15" customHeight="1" x14ac:dyDescent="0.25">
      <c r="A73" s="5">
        <v>269</v>
      </c>
      <c r="B73" s="3" t="s">
        <v>92</v>
      </c>
      <c r="C73" s="3" t="s">
        <v>2</v>
      </c>
    </row>
    <row r="74" spans="1:3" ht="15" customHeight="1" x14ac:dyDescent="0.25">
      <c r="A74" s="5">
        <v>270</v>
      </c>
      <c r="B74" s="3" t="s">
        <v>93</v>
      </c>
      <c r="C74" s="3" t="s">
        <v>1</v>
      </c>
    </row>
    <row r="75" spans="1:3" ht="15" customHeight="1" x14ac:dyDescent="0.25">
      <c r="A75" s="5">
        <v>271</v>
      </c>
      <c r="B75" s="3" t="s">
        <v>94</v>
      </c>
      <c r="C75" s="3" t="s">
        <v>2</v>
      </c>
    </row>
    <row r="76" spans="1:3" ht="15" customHeight="1" x14ac:dyDescent="0.25">
      <c r="A76" s="5">
        <v>272</v>
      </c>
      <c r="B76" s="3" t="s">
        <v>95</v>
      </c>
      <c r="C76" s="3" t="s">
        <v>2</v>
      </c>
    </row>
    <row r="77" spans="1:3" ht="15" customHeight="1" x14ac:dyDescent="0.25">
      <c r="A77" s="5">
        <v>273</v>
      </c>
      <c r="B77" s="3" t="s">
        <v>96</v>
      </c>
      <c r="C77" s="3" t="s">
        <v>128</v>
      </c>
    </row>
    <row r="78" spans="1:3" ht="15" customHeight="1" x14ac:dyDescent="0.25">
      <c r="A78" s="5">
        <v>274</v>
      </c>
      <c r="B78" s="3" t="s">
        <v>97</v>
      </c>
      <c r="C78" s="3" t="s">
        <v>2</v>
      </c>
    </row>
    <row r="79" spans="1:3" ht="15" customHeight="1" x14ac:dyDescent="0.25">
      <c r="A79" s="5">
        <v>275</v>
      </c>
      <c r="B79" s="3" t="s">
        <v>98</v>
      </c>
      <c r="C79" s="3" t="s">
        <v>2</v>
      </c>
    </row>
    <row r="80" spans="1:3" ht="15" customHeight="1" x14ac:dyDescent="0.25">
      <c r="A80" s="5">
        <v>276</v>
      </c>
      <c r="B80" s="3" t="s">
        <v>99</v>
      </c>
      <c r="C80" s="3" t="s">
        <v>2</v>
      </c>
    </row>
    <row r="81" spans="1:3" ht="15" customHeight="1" x14ac:dyDescent="0.25">
      <c r="A81" s="5">
        <v>277</v>
      </c>
      <c r="B81" s="3" t="s">
        <v>100</v>
      </c>
      <c r="C81" s="3" t="s">
        <v>128</v>
      </c>
    </row>
    <row r="82" spans="1:3" ht="15" customHeight="1" x14ac:dyDescent="0.25">
      <c r="A82" s="5">
        <v>278</v>
      </c>
      <c r="B82" s="3" t="s">
        <v>101</v>
      </c>
      <c r="C82" s="3" t="s">
        <v>2</v>
      </c>
    </row>
    <row r="83" spans="1:3" ht="15" customHeight="1" x14ac:dyDescent="0.25">
      <c r="A83" s="5">
        <v>279</v>
      </c>
      <c r="B83" s="3" t="s">
        <v>102</v>
      </c>
      <c r="C83" s="3" t="s">
        <v>128</v>
      </c>
    </row>
    <row r="84" spans="1:3" ht="15" customHeight="1" x14ac:dyDescent="0.25">
      <c r="A84" s="5">
        <v>280</v>
      </c>
      <c r="B84" s="3" t="s">
        <v>103</v>
      </c>
      <c r="C84" s="3" t="s">
        <v>1</v>
      </c>
    </row>
    <row r="85" spans="1:3" ht="15" customHeight="1" x14ac:dyDescent="0.25">
      <c r="A85" s="5">
        <v>281</v>
      </c>
      <c r="B85" s="3" t="s">
        <v>104</v>
      </c>
      <c r="C85" s="3" t="s">
        <v>128</v>
      </c>
    </row>
    <row r="86" spans="1:3" ht="15" customHeight="1" x14ac:dyDescent="0.25">
      <c r="A86" s="5">
        <v>282</v>
      </c>
      <c r="B86" s="3" t="s">
        <v>105</v>
      </c>
      <c r="C86" s="3" t="s">
        <v>128</v>
      </c>
    </row>
    <row r="87" spans="1:3" ht="15" customHeight="1" x14ac:dyDescent="0.25">
      <c r="A87" s="5">
        <v>283</v>
      </c>
      <c r="B87" s="3" t="s">
        <v>106</v>
      </c>
      <c r="C87" s="3" t="s">
        <v>128</v>
      </c>
    </row>
    <row r="88" spans="1:3" ht="15" customHeight="1" x14ac:dyDescent="0.25">
      <c r="A88" s="5">
        <v>284</v>
      </c>
      <c r="B88" s="3" t="s">
        <v>107</v>
      </c>
      <c r="C88" s="3" t="s">
        <v>128</v>
      </c>
    </row>
    <row r="89" spans="1:3" ht="15" customHeight="1" x14ac:dyDescent="0.25">
      <c r="A89" s="5">
        <v>285</v>
      </c>
      <c r="B89" s="3" t="s">
        <v>108</v>
      </c>
      <c r="C89" s="3" t="s">
        <v>1</v>
      </c>
    </row>
    <row r="90" spans="1:3" ht="15" customHeight="1" x14ac:dyDescent="0.25">
      <c r="A90" s="5">
        <v>286</v>
      </c>
      <c r="B90" s="3" t="s">
        <v>109</v>
      </c>
      <c r="C90" s="3" t="s">
        <v>128</v>
      </c>
    </row>
    <row r="91" spans="1:3" ht="15" customHeight="1" x14ac:dyDescent="0.25">
      <c r="A91" s="5">
        <v>287</v>
      </c>
      <c r="B91" s="3" t="s">
        <v>110</v>
      </c>
      <c r="C91" s="3" t="s">
        <v>3</v>
      </c>
    </row>
    <row r="92" spans="1:3" ht="15" customHeight="1" x14ac:dyDescent="0.25">
      <c r="A92" s="5">
        <v>288</v>
      </c>
      <c r="B92" s="3" t="s">
        <v>111</v>
      </c>
      <c r="C92" s="3" t="s">
        <v>3</v>
      </c>
    </row>
    <row r="93" spans="1:3" ht="15" customHeight="1" x14ac:dyDescent="0.25">
      <c r="A93" s="5">
        <v>289</v>
      </c>
      <c r="B93" s="3" t="s">
        <v>112</v>
      </c>
      <c r="C93" s="3" t="s">
        <v>3</v>
      </c>
    </row>
    <row r="94" spans="1:3" ht="15" customHeight="1" x14ac:dyDescent="0.25">
      <c r="A94" s="5">
        <v>290</v>
      </c>
      <c r="B94" s="3" t="s">
        <v>113</v>
      </c>
      <c r="C94" s="3" t="s">
        <v>3</v>
      </c>
    </row>
    <row r="95" spans="1:3" ht="15" customHeight="1" x14ac:dyDescent="0.25">
      <c r="A95" s="5">
        <v>291</v>
      </c>
      <c r="B95" s="3" t="s">
        <v>114</v>
      </c>
      <c r="C95" s="3" t="s">
        <v>3</v>
      </c>
    </row>
    <row r="96" spans="1:3" ht="15" customHeight="1" x14ac:dyDescent="0.25">
      <c r="A96" s="5">
        <v>292</v>
      </c>
      <c r="B96" s="3" t="s">
        <v>115</v>
      </c>
      <c r="C96" s="3" t="s">
        <v>3</v>
      </c>
    </row>
    <row r="97" spans="1:3" ht="15" customHeight="1" x14ac:dyDescent="0.25">
      <c r="A97" s="5">
        <v>293</v>
      </c>
      <c r="B97" s="3" t="s">
        <v>116</v>
      </c>
      <c r="C97" s="3" t="s">
        <v>3</v>
      </c>
    </row>
    <row r="98" spans="1:3" ht="15" customHeight="1" x14ac:dyDescent="0.25">
      <c r="A98" s="5">
        <v>294</v>
      </c>
      <c r="B98" s="3" t="s">
        <v>117</v>
      </c>
      <c r="C98" s="3" t="s">
        <v>3</v>
      </c>
    </row>
    <row r="99" spans="1:3" ht="15" customHeight="1" x14ac:dyDescent="0.25">
      <c r="A99" s="5">
        <v>295</v>
      </c>
      <c r="B99" s="3" t="s">
        <v>118</v>
      </c>
      <c r="C99" s="3" t="s">
        <v>3</v>
      </c>
    </row>
    <row r="100" spans="1:3" ht="15" customHeight="1" x14ac:dyDescent="0.25">
      <c r="A100" s="5">
        <v>296</v>
      </c>
      <c r="B100" s="3" t="s">
        <v>119</v>
      </c>
      <c r="C100" s="3" t="s">
        <v>3</v>
      </c>
    </row>
    <row r="101" spans="1:3" ht="15" customHeight="1" x14ac:dyDescent="0.25">
      <c r="A101" s="5">
        <v>297</v>
      </c>
      <c r="B101" s="3" t="s">
        <v>66</v>
      </c>
      <c r="C101" s="3" t="s">
        <v>3</v>
      </c>
    </row>
    <row r="102" spans="1:3" ht="15" customHeight="1" x14ac:dyDescent="0.25">
      <c r="A102" s="5">
        <v>298</v>
      </c>
      <c r="B102" s="3" t="s">
        <v>120</v>
      </c>
      <c r="C102" s="3" t="s">
        <v>1</v>
      </c>
    </row>
    <row r="103" spans="1:3" ht="15" customHeight="1" x14ac:dyDescent="0.25">
      <c r="A103" s="5">
        <v>300</v>
      </c>
      <c r="B103" s="3" t="s">
        <v>121</v>
      </c>
      <c r="C103" s="3" t="s">
        <v>126</v>
      </c>
    </row>
    <row r="104" spans="1:3" ht="15" customHeight="1" x14ac:dyDescent="0.25">
      <c r="A104" s="5">
        <v>301</v>
      </c>
      <c r="B104" s="3" t="s">
        <v>122</v>
      </c>
      <c r="C104" s="3" t="s">
        <v>126</v>
      </c>
    </row>
    <row r="105" spans="1:3" ht="15" customHeight="1" x14ac:dyDescent="0.25">
      <c r="A105" s="5">
        <v>302</v>
      </c>
      <c r="B105" s="3" t="s">
        <v>123</v>
      </c>
      <c r="C105" s="3" t="s">
        <v>126</v>
      </c>
    </row>
    <row r="106" spans="1:3" ht="15" customHeight="1" x14ac:dyDescent="0.25">
      <c r="A106" s="6">
        <v>324</v>
      </c>
      <c r="B106" s="7" t="s">
        <v>125</v>
      </c>
      <c r="C106" s="7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L112"/>
  <sheetViews>
    <sheetView topLeftCell="L1" workbookViewId="0">
      <selection activeCell="L8" sqref="L8"/>
    </sheetView>
  </sheetViews>
  <sheetFormatPr baseColWidth="10" defaultRowHeight="15" x14ac:dyDescent="0.25"/>
  <cols>
    <col min="1" max="1" width="11.42578125" hidden="1" customWidth="1"/>
    <col min="2" max="2" width="19.85546875" hidden="1" customWidth="1"/>
    <col min="3" max="3" width="18" hidden="1" customWidth="1"/>
    <col min="4" max="8" width="11.42578125" hidden="1" customWidth="1"/>
    <col min="9" max="9" width="14.28515625" hidden="1" customWidth="1"/>
    <col min="10" max="11" width="11.42578125" hidden="1" customWidth="1"/>
    <col min="12" max="12" width="36.42578125" bestFit="1" customWidth="1"/>
  </cols>
  <sheetData>
    <row r="1" spans="1:12" x14ac:dyDescent="0.25">
      <c r="A1" s="12" t="s">
        <v>4</v>
      </c>
      <c r="B1" s="12" t="s">
        <v>5</v>
      </c>
      <c r="C1" s="12" t="s">
        <v>6</v>
      </c>
      <c r="D1" s="12" t="s">
        <v>7</v>
      </c>
      <c r="E1" s="12" t="s">
        <v>136</v>
      </c>
      <c r="F1" s="12" t="s">
        <v>137</v>
      </c>
      <c r="H1" t="s">
        <v>134</v>
      </c>
      <c r="I1" t="s">
        <v>135</v>
      </c>
      <c r="L1" s="8" t="s">
        <v>146</v>
      </c>
    </row>
    <row r="2" spans="1:12" ht="15" customHeight="1" x14ac:dyDescent="0.25">
      <c r="A2" s="5">
        <v>3</v>
      </c>
      <c r="B2" s="3" t="s">
        <v>9</v>
      </c>
      <c r="C2" s="3" t="s">
        <v>8</v>
      </c>
      <c r="D2" s="2">
        <v>35</v>
      </c>
      <c r="E2">
        <v>1</v>
      </c>
      <c r="F2" t="str">
        <f t="shared" ref="F2:F33" si="0">IFERROR(VLOOKUP(E2,$H$2:$I$7,2,0),"")</f>
        <v>JUMBOS</v>
      </c>
      <c r="H2">
        <v>1</v>
      </c>
      <c r="I2" t="s">
        <v>1</v>
      </c>
      <c r="L2" s="22" t="s">
        <v>149</v>
      </c>
    </row>
    <row r="3" spans="1:12" ht="15" customHeight="1" x14ac:dyDescent="0.25">
      <c r="A3" s="5">
        <v>10</v>
      </c>
      <c r="B3" s="3" t="s">
        <v>10</v>
      </c>
      <c r="C3" s="3" t="s">
        <v>8</v>
      </c>
      <c r="D3" s="2">
        <v>47</v>
      </c>
      <c r="E3">
        <v>3</v>
      </c>
      <c r="F3" t="str">
        <f t="shared" si="0"/>
        <v>METROS</v>
      </c>
      <c r="H3">
        <v>3</v>
      </c>
      <c r="I3" t="s">
        <v>2</v>
      </c>
      <c r="L3" s="22" t="s">
        <v>147</v>
      </c>
    </row>
    <row r="4" spans="1:12" ht="15" customHeight="1" x14ac:dyDescent="0.25">
      <c r="A4" s="5">
        <v>11</v>
      </c>
      <c r="B4" s="3" t="s">
        <v>11</v>
      </c>
      <c r="C4" s="3" t="s">
        <v>8</v>
      </c>
      <c r="D4" s="2">
        <v>24</v>
      </c>
      <c r="E4">
        <v>1</v>
      </c>
      <c r="F4" t="str">
        <f t="shared" si="0"/>
        <v>JUMBOS</v>
      </c>
      <c r="H4">
        <v>4</v>
      </c>
      <c r="I4" t="s">
        <v>72</v>
      </c>
      <c r="L4" s="22" t="s">
        <v>148</v>
      </c>
    </row>
    <row r="5" spans="1:12" ht="15" customHeight="1" x14ac:dyDescent="0.25">
      <c r="A5" s="5">
        <v>14</v>
      </c>
      <c r="B5" s="3" t="s">
        <v>12</v>
      </c>
      <c r="C5" s="3" t="s">
        <v>8</v>
      </c>
      <c r="D5" s="2">
        <v>25</v>
      </c>
      <c r="E5">
        <v>1</v>
      </c>
      <c r="F5" t="str">
        <f t="shared" si="0"/>
        <v>JUMBOS</v>
      </c>
      <c r="H5">
        <v>5</v>
      </c>
      <c r="I5" t="s">
        <v>3</v>
      </c>
      <c r="L5" s="22" t="s">
        <v>160</v>
      </c>
    </row>
    <row r="6" spans="1:12" ht="15" customHeight="1" x14ac:dyDescent="0.25">
      <c r="A6" s="5">
        <v>15</v>
      </c>
      <c r="B6" s="3" t="s">
        <v>13</v>
      </c>
      <c r="C6" s="3" t="s">
        <v>8</v>
      </c>
      <c r="D6" s="2">
        <v>26</v>
      </c>
      <c r="E6">
        <v>1</v>
      </c>
      <c r="F6" t="str">
        <f t="shared" si="0"/>
        <v>JUMBOS</v>
      </c>
      <c r="H6">
        <v>6</v>
      </c>
      <c r="I6" t="s">
        <v>126</v>
      </c>
      <c r="L6" s="22" t="s">
        <v>159</v>
      </c>
    </row>
    <row r="7" spans="1:12" ht="15" customHeight="1" x14ac:dyDescent="0.25">
      <c r="A7" s="5">
        <v>16</v>
      </c>
      <c r="B7" s="3" t="s">
        <v>14</v>
      </c>
      <c r="C7" s="3" t="s">
        <v>8</v>
      </c>
      <c r="D7" s="2">
        <v>27</v>
      </c>
      <c r="E7">
        <v>1</v>
      </c>
      <c r="F7" t="str">
        <f t="shared" si="0"/>
        <v>JUMBOS</v>
      </c>
      <c r="H7">
        <v>2</v>
      </c>
      <c r="I7" t="s">
        <v>133</v>
      </c>
      <c r="L7" s="22" t="s">
        <v>149</v>
      </c>
    </row>
    <row r="8" spans="1:12" ht="15" customHeight="1" x14ac:dyDescent="0.25">
      <c r="A8" s="5">
        <v>17</v>
      </c>
      <c r="B8" s="3" t="s">
        <v>15</v>
      </c>
      <c r="C8" s="3" t="s">
        <v>8</v>
      </c>
      <c r="D8" s="2">
        <v>46</v>
      </c>
      <c r="E8">
        <v>3</v>
      </c>
      <c r="F8" t="str">
        <f t="shared" si="0"/>
        <v>METROS</v>
      </c>
      <c r="L8" s="22" t="s">
        <v>161</v>
      </c>
    </row>
    <row r="9" spans="1:12" ht="15" customHeight="1" x14ac:dyDescent="0.25">
      <c r="A9" s="5">
        <v>18</v>
      </c>
      <c r="B9" s="3" t="s">
        <v>16</v>
      </c>
      <c r="C9" s="3" t="s">
        <v>8</v>
      </c>
      <c r="D9" s="2">
        <v>45</v>
      </c>
      <c r="E9">
        <v>3</v>
      </c>
      <c r="F9" t="str">
        <f t="shared" si="0"/>
        <v>METROS</v>
      </c>
      <c r="L9" s="22" t="s">
        <v>156</v>
      </c>
    </row>
    <row r="10" spans="1:12" ht="15" customHeight="1" x14ac:dyDescent="0.25">
      <c r="A10" s="5">
        <v>19</v>
      </c>
      <c r="B10" s="3" t="s">
        <v>17</v>
      </c>
      <c r="C10" s="3" t="s">
        <v>8</v>
      </c>
      <c r="D10" s="2">
        <v>28</v>
      </c>
      <c r="E10">
        <v>1</v>
      </c>
      <c r="F10" t="str">
        <f t="shared" si="0"/>
        <v>JUMBOS</v>
      </c>
      <c r="H10" s="27"/>
    </row>
    <row r="11" spans="1:12" ht="15" customHeight="1" x14ac:dyDescent="0.25">
      <c r="A11" s="5">
        <v>20</v>
      </c>
      <c r="B11" s="3" t="s">
        <v>18</v>
      </c>
      <c r="C11" s="3" t="s">
        <v>8</v>
      </c>
      <c r="D11" s="2">
        <v>53</v>
      </c>
      <c r="F11" t="str">
        <f t="shared" si="0"/>
        <v/>
      </c>
    </row>
    <row r="12" spans="1:12" ht="15" customHeight="1" x14ac:dyDescent="0.25">
      <c r="A12" s="5">
        <v>26</v>
      </c>
      <c r="B12" s="3" t="s">
        <v>19</v>
      </c>
      <c r="C12" s="3" t="s">
        <v>8</v>
      </c>
      <c r="D12" s="2">
        <v>54</v>
      </c>
      <c r="E12">
        <v>3</v>
      </c>
      <c r="F12" t="str">
        <f t="shared" si="0"/>
        <v>METROS</v>
      </c>
    </row>
    <row r="13" spans="1:12" ht="15" customHeight="1" x14ac:dyDescent="0.25">
      <c r="A13" s="5">
        <v>28</v>
      </c>
      <c r="B13" s="3" t="s">
        <v>20</v>
      </c>
      <c r="C13" s="3" t="s">
        <v>8</v>
      </c>
      <c r="D13" s="2">
        <v>42</v>
      </c>
      <c r="E13">
        <v>4</v>
      </c>
      <c r="F13" t="str">
        <f t="shared" si="0"/>
        <v>REGIONALES</v>
      </c>
    </row>
    <row r="14" spans="1:12" ht="15" customHeight="1" x14ac:dyDescent="0.25">
      <c r="A14" s="5">
        <v>29</v>
      </c>
      <c r="B14" s="3" t="s">
        <v>21</v>
      </c>
      <c r="C14" s="3" t="s">
        <v>8</v>
      </c>
      <c r="D14" s="2">
        <v>55</v>
      </c>
      <c r="E14">
        <v>3</v>
      </c>
      <c r="F14" t="str">
        <f t="shared" si="0"/>
        <v>METROS</v>
      </c>
    </row>
    <row r="15" spans="1:12" ht="15" customHeight="1" x14ac:dyDescent="0.25">
      <c r="A15" s="5">
        <v>31</v>
      </c>
      <c r="B15" s="3" t="s">
        <v>22</v>
      </c>
      <c r="C15" s="3" t="s">
        <v>23</v>
      </c>
      <c r="D15" s="2">
        <v>17</v>
      </c>
      <c r="F15" t="str">
        <f t="shared" si="0"/>
        <v/>
      </c>
    </row>
    <row r="16" spans="1:12" ht="15" customHeight="1" x14ac:dyDescent="0.25">
      <c r="A16" s="5">
        <v>32</v>
      </c>
      <c r="B16" s="3" t="s">
        <v>24</v>
      </c>
      <c r="C16" s="3" t="s">
        <v>23</v>
      </c>
      <c r="D16" s="2">
        <v>18</v>
      </c>
      <c r="F16" t="str">
        <f t="shared" si="0"/>
        <v/>
      </c>
    </row>
    <row r="17" spans="1:6" ht="15" customHeight="1" x14ac:dyDescent="0.25">
      <c r="A17" s="5">
        <v>36</v>
      </c>
      <c r="B17" s="3" t="s">
        <v>25</v>
      </c>
      <c r="C17" s="3" t="s">
        <v>26</v>
      </c>
      <c r="D17" s="2">
        <v>19</v>
      </c>
      <c r="E17">
        <v>4</v>
      </c>
      <c r="F17" t="str">
        <f t="shared" si="0"/>
        <v>REGIONALES</v>
      </c>
    </row>
    <row r="18" spans="1:6" ht="15" customHeight="1" x14ac:dyDescent="0.25">
      <c r="A18" s="5">
        <v>37</v>
      </c>
      <c r="B18" s="3" t="s">
        <v>27</v>
      </c>
      <c r="C18" s="3" t="s">
        <v>26</v>
      </c>
      <c r="D18" s="2">
        <v>36</v>
      </c>
      <c r="E18">
        <v>4</v>
      </c>
      <c r="F18" t="str">
        <f t="shared" si="0"/>
        <v>REGIONALES</v>
      </c>
    </row>
    <row r="19" spans="1:6" ht="15" customHeight="1" x14ac:dyDescent="0.25">
      <c r="A19" s="5">
        <v>38</v>
      </c>
      <c r="B19" s="3" t="s">
        <v>28</v>
      </c>
      <c r="C19" s="3" t="s">
        <v>26</v>
      </c>
      <c r="D19" s="2">
        <v>40</v>
      </c>
      <c r="E19">
        <v>4</v>
      </c>
      <c r="F19" t="str">
        <f t="shared" si="0"/>
        <v>REGIONALES</v>
      </c>
    </row>
    <row r="20" spans="1:6" ht="15" customHeight="1" x14ac:dyDescent="0.25">
      <c r="A20" s="5">
        <v>40</v>
      </c>
      <c r="B20" s="3" t="s">
        <v>29</v>
      </c>
      <c r="C20" s="3" t="s">
        <v>3</v>
      </c>
      <c r="D20" s="2">
        <v>2</v>
      </c>
      <c r="E20">
        <v>5</v>
      </c>
      <c r="F20" t="str">
        <f t="shared" si="0"/>
        <v>COSTAS</v>
      </c>
    </row>
    <row r="21" spans="1:6" ht="15" customHeight="1" x14ac:dyDescent="0.25">
      <c r="A21" s="5">
        <v>42</v>
      </c>
      <c r="B21" s="3" t="s">
        <v>30</v>
      </c>
      <c r="C21" s="3" t="s">
        <v>26</v>
      </c>
      <c r="D21" s="2">
        <v>39</v>
      </c>
      <c r="E21">
        <v>4</v>
      </c>
      <c r="F21" t="str">
        <f t="shared" si="0"/>
        <v>REGIONALES</v>
      </c>
    </row>
    <row r="22" spans="1:6" ht="15" customHeight="1" x14ac:dyDescent="0.25">
      <c r="A22" s="5">
        <v>43</v>
      </c>
      <c r="B22" s="3" t="s">
        <v>31</v>
      </c>
      <c r="C22" s="3" t="s">
        <v>3</v>
      </c>
      <c r="D22" s="2">
        <v>2</v>
      </c>
      <c r="E22">
        <v>5</v>
      </c>
      <c r="F22" t="str">
        <f t="shared" si="0"/>
        <v>COSTAS</v>
      </c>
    </row>
    <row r="23" spans="1:6" ht="15" customHeight="1" x14ac:dyDescent="0.25">
      <c r="A23" s="5">
        <v>44</v>
      </c>
      <c r="B23" s="3" t="s">
        <v>32</v>
      </c>
      <c r="C23" s="3" t="s">
        <v>8</v>
      </c>
      <c r="D23" s="2">
        <v>29</v>
      </c>
      <c r="E23">
        <v>1</v>
      </c>
      <c r="F23" t="str">
        <f t="shared" si="0"/>
        <v>JUMBOS</v>
      </c>
    </row>
    <row r="24" spans="1:6" ht="15" customHeight="1" x14ac:dyDescent="0.25">
      <c r="A24" s="5">
        <v>45</v>
      </c>
      <c r="B24" s="3" t="s">
        <v>33</v>
      </c>
      <c r="C24" s="3" t="s">
        <v>3</v>
      </c>
      <c r="D24" s="2">
        <v>3</v>
      </c>
      <c r="E24">
        <v>5</v>
      </c>
      <c r="F24" t="str">
        <f t="shared" si="0"/>
        <v>COSTAS</v>
      </c>
    </row>
    <row r="25" spans="1:6" ht="15" customHeight="1" x14ac:dyDescent="0.25">
      <c r="A25" s="5">
        <v>47</v>
      </c>
      <c r="B25" s="3" t="s">
        <v>34</v>
      </c>
      <c r="C25" s="3" t="s">
        <v>26</v>
      </c>
      <c r="D25" s="2">
        <v>30</v>
      </c>
      <c r="E25">
        <v>4</v>
      </c>
      <c r="F25" t="str">
        <f t="shared" si="0"/>
        <v>REGIONALES</v>
      </c>
    </row>
    <row r="26" spans="1:6" ht="15" customHeight="1" x14ac:dyDescent="0.25">
      <c r="A26" s="5">
        <v>48</v>
      </c>
      <c r="B26" s="3" t="s">
        <v>35</v>
      </c>
      <c r="C26" s="3" t="s">
        <v>8</v>
      </c>
      <c r="D26" s="2">
        <v>48</v>
      </c>
      <c r="E26">
        <v>3</v>
      </c>
      <c r="F26" t="str">
        <f t="shared" si="0"/>
        <v>METROS</v>
      </c>
    </row>
    <row r="27" spans="1:6" ht="15" customHeight="1" x14ac:dyDescent="0.25">
      <c r="A27" s="5">
        <v>49</v>
      </c>
      <c r="B27" s="3" t="s">
        <v>36</v>
      </c>
      <c r="C27" s="3" t="s">
        <v>3</v>
      </c>
      <c r="D27" s="2">
        <v>11</v>
      </c>
      <c r="E27">
        <v>5</v>
      </c>
      <c r="F27" t="str">
        <f t="shared" si="0"/>
        <v>COSTAS</v>
      </c>
    </row>
    <row r="28" spans="1:6" ht="15" customHeight="1" x14ac:dyDescent="0.25">
      <c r="A28" s="5">
        <v>55</v>
      </c>
      <c r="B28" s="3" t="s">
        <v>37</v>
      </c>
      <c r="C28" s="3" t="s">
        <v>8</v>
      </c>
      <c r="D28" s="2">
        <v>58</v>
      </c>
      <c r="E28">
        <v>2</v>
      </c>
      <c r="F28" t="str">
        <f t="shared" si="0"/>
        <v>TIENDA EXPRESS</v>
      </c>
    </row>
    <row r="29" spans="1:6" ht="15" customHeight="1" x14ac:dyDescent="0.25">
      <c r="A29" s="5">
        <v>68</v>
      </c>
      <c r="B29" s="3" t="s">
        <v>38</v>
      </c>
      <c r="C29" s="3" t="s">
        <v>8</v>
      </c>
      <c r="D29" s="2">
        <v>57</v>
      </c>
      <c r="E29">
        <v>2</v>
      </c>
      <c r="F29" t="str">
        <f t="shared" si="0"/>
        <v>TIENDA EXPRESS</v>
      </c>
    </row>
    <row r="30" spans="1:6" ht="15" customHeight="1" x14ac:dyDescent="0.25">
      <c r="A30" s="5">
        <v>70</v>
      </c>
      <c r="B30" s="3" t="s">
        <v>39</v>
      </c>
      <c r="C30" s="3" t="s">
        <v>8</v>
      </c>
      <c r="D30" s="2">
        <v>31</v>
      </c>
      <c r="E30">
        <v>1</v>
      </c>
      <c r="F30" t="str">
        <f t="shared" si="0"/>
        <v>JUMBOS</v>
      </c>
    </row>
    <row r="31" spans="1:6" ht="15" customHeight="1" x14ac:dyDescent="0.25">
      <c r="A31" s="5">
        <v>71</v>
      </c>
      <c r="B31" s="3" t="s">
        <v>40</v>
      </c>
      <c r="C31" s="3" t="s">
        <v>8</v>
      </c>
      <c r="D31" s="2">
        <v>49</v>
      </c>
      <c r="E31">
        <v>3</v>
      </c>
      <c r="F31" t="str">
        <f t="shared" si="0"/>
        <v>METROS</v>
      </c>
    </row>
    <row r="32" spans="1:6" ht="15" customHeight="1" x14ac:dyDescent="0.25">
      <c r="A32" s="5">
        <v>72</v>
      </c>
      <c r="B32" s="3" t="s">
        <v>41</v>
      </c>
      <c r="C32" s="3" t="s">
        <v>8</v>
      </c>
      <c r="D32" s="2">
        <v>32</v>
      </c>
      <c r="E32">
        <v>1</v>
      </c>
      <c r="F32" t="str">
        <f t="shared" si="0"/>
        <v>JUMBOS</v>
      </c>
    </row>
    <row r="33" spans="1:6" ht="15" customHeight="1" x14ac:dyDescent="0.25">
      <c r="A33" s="5">
        <v>73</v>
      </c>
      <c r="B33" s="3" t="s">
        <v>42</v>
      </c>
      <c r="C33" s="3" t="s">
        <v>8</v>
      </c>
      <c r="D33" s="2">
        <v>56</v>
      </c>
      <c r="E33">
        <v>3</v>
      </c>
      <c r="F33" t="str">
        <f t="shared" si="0"/>
        <v>METROS</v>
      </c>
    </row>
    <row r="34" spans="1:6" ht="15" customHeight="1" x14ac:dyDescent="0.25">
      <c r="A34" s="5">
        <v>74</v>
      </c>
      <c r="B34" s="3" t="s">
        <v>43</v>
      </c>
      <c r="C34" s="3" t="s">
        <v>8</v>
      </c>
      <c r="D34" s="2">
        <v>44</v>
      </c>
      <c r="E34">
        <v>3</v>
      </c>
      <c r="F34" t="str">
        <f t="shared" ref="F34:F65" si="1">IFERROR(VLOOKUP(E34,$H$2:$I$7,2,0),"")</f>
        <v>METROS</v>
      </c>
    </row>
    <row r="35" spans="1:6" ht="15" customHeight="1" x14ac:dyDescent="0.25">
      <c r="A35" s="5">
        <v>76</v>
      </c>
      <c r="B35" s="3" t="s">
        <v>44</v>
      </c>
      <c r="C35" s="3" t="s">
        <v>8</v>
      </c>
      <c r="D35" s="2">
        <v>34</v>
      </c>
      <c r="E35">
        <v>4</v>
      </c>
      <c r="F35" t="str">
        <f t="shared" si="1"/>
        <v>REGIONALES</v>
      </c>
    </row>
    <row r="36" spans="1:6" ht="15" customHeight="1" x14ac:dyDescent="0.25">
      <c r="A36" s="5">
        <v>77</v>
      </c>
      <c r="B36" s="3" t="s">
        <v>45</v>
      </c>
      <c r="C36" s="3" t="s">
        <v>8</v>
      </c>
      <c r="D36" s="2">
        <v>43</v>
      </c>
      <c r="E36">
        <v>3</v>
      </c>
      <c r="F36" t="str">
        <f t="shared" si="1"/>
        <v>METROS</v>
      </c>
    </row>
    <row r="37" spans="1:6" ht="15" customHeight="1" x14ac:dyDescent="0.25">
      <c r="A37" s="5">
        <v>78</v>
      </c>
      <c r="B37" s="3" t="s">
        <v>46</v>
      </c>
      <c r="C37" s="3" t="s">
        <v>8</v>
      </c>
      <c r="D37" s="2">
        <v>52</v>
      </c>
      <c r="E37">
        <v>3</v>
      </c>
      <c r="F37" t="str">
        <f t="shared" si="1"/>
        <v>METROS</v>
      </c>
    </row>
    <row r="38" spans="1:6" ht="15" customHeight="1" x14ac:dyDescent="0.25">
      <c r="A38" s="5">
        <v>79</v>
      </c>
      <c r="B38" s="3" t="s">
        <v>47</v>
      </c>
      <c r="C38" s="3" t="s">
        <v>8</v>
      </c>
      <c r="D38" s="2">
        <v>51</v>
      </c>
      <c r="E38">
        <v>3</v>
      </c>
      <c r="F38" t="str">
        <f t="shared" si="1"/>
        <v>METROS</v>
      </c>
    </row>
    <row r="39" spans="1:6" ht="15" customHeight="1" x14ac:dyDescent="0.25">
      <c r="A39" s="5">
        <v>83</v>
      </c>
      <c r="B39" s="3" t="s">
        <v>48</v>
      </c>
      <c r="C39" s="3" t="s">
        <v>3</v>
      </c>
      <c r="D39" s="2">
        <v>4</v>
      </c>
      <c r="E39">
        <v>5</v>
      </c>
      <c r="F39" t="str">
        <f t="shared" si="1"/>
        <v>COSTAS</v>
      </c>
    </row>
    <row r="40" spans="1:6" ht="15" customHeight="1" x14ac:dyDescent="0.25">
      <c r="A40" s="5">
        <v>84</v>
      </c>
      <c r="B40" s="3" t="s">
        <v>49</v>
      </c>
      <c r="C40" s="3" t="s">
        <v>50</v>
      </c>
      <c r="D40" s="2">
        <v>13</v>
      </c>
      <c r="F40" t="str">
        <f t="shared" si="1"/>
        <v/>
      </c>
    </row>
    <row r="41" spans="1:6" ht="15" customHeight="1" x14ac:dyDescent="0.25">
      <c r="A41" s="5">
        <v>85</v>
      </c>
      <c r="B41" s="3" t="s">
        <v>51</v>
      </c>
      <c r="C41" s="3" t="s">
        <v>3</v>
      </c>
      <c r="D41" s="2">
        <v>5</v>
      </c>
      <c r="F41" t="str">
        <f t="shared" si="1"/>
        <v/>
      </c>
    </row>
    <row r="42" spans="1:6" ht="15" customHeight="1" x14ac:dyDescent="0.25">
      <c r="A42" s="5">
        <v>86</v>
      </c>
      <c r="B42" s="3" t="s">
        <v>52</v>
      </c>
      <c r="C42" s="3" t="s">
        <v>3</v>
      </c>
      <c r="D42" s="2">
        <v>12</v>
      </c>
      <c r="E42">
        <v>5</v>
      </c>
      <c r="F42" t="str">
        <f t="shared" si="1"/>
        <v>COSTAS</v>
      </c>
    </row>
    <row r="43" spans="1:6" ht="15" customHeight="1" x14ac:dyDescent="0.25">
      <c r="A43" s="5">
        <v>87</v>
      </c>
      <c r="B43" s="3" t="s">
        <v>53</v>
      </c>
      <c r="C43" s="3" t="s">
        <v>3</v>
      </c>
      <c r="D43" s="2">
        <v>6</v>
      </c>
      <c r="E43">
        <v>5</v>
      </c>
      <c r="F43" t="str">
        <f t="shared" si="1"/>
        <v>COSTAS</v>
      </c>
    </row>
    <row r="44" spans="1:6" ht="15" customHeight="1" x14ac:dyDescent="0.25">
      <c r="A44" s="5">
        <v>88</v>
      </c>
      <c r="B44" s="3" t="s">
        <v>54</v>
      </c>
      <c r="C44" s="3" t="s">
        <v>3</v>
      </c>
      <c r="D44" s="2">
        <v>7</v>
      </c>
      <c r="E44">
        <v>5</v>
      </c>
      <c r="F44" t="str">
        <f t="shared" si="1"/>
        <v>COSTAS</v>
      </c>
    </row>
    <row r="45" spans="1:6" ht="15" customHeight="1" x14ac:dyDescent="0.25">
      <c r="A45" s="5">
        <v>97</v>
      </c>
      <c r="B45" s="3" t="s">
        <v>55</v>
      </c>
      <c r="C45" s="3" t="s">
        <v>26</v>
      </c>
      <c r="D45" s="2">
        <v>41</v>
      </c>
      <c r="E45">
        <v>4</v>
      </c>
      <c r="F45" t="str">
        <f t="shared" si="1"/>
        <v>REGIONALES</v>
      </c>
    </row>
    <row r="46" spans="1:6" ht="15" customHeight="1" x14ac:dyDescent="0.25">
      <c r="A46" s="5">
        <v>112</v>
      </c>
      <c r="B46" s="3" t="s">
        <v>56</v>
      </c>
      <c r="C46" s="3" t="s">
        <v>57</v>
      </c>
      <c r="D46" s="2">
        <v>16</v>
      </c>
      <c r="E46">
        <v>6</v>
      </c>
      <c r="F46" t="str">
        <f t="shared" si="1"/>
        <v>PLATAFORMAS</v>
      </c>
    </row>
    <row r="47" spans="1:6" ht="15" customHeight="1" x14ac:dyDescent="0.25">
      <c r="A47" s="5">
        <v>124</v>
      </c>
      <c r="B47" s="3" t="s">
        <v>58</v>
      </c>
      <c r="C47" s="3" t="s">
        <v>8</v>
      </c>
      <c r="D47" s="2">
        <v>50</v>
      </c>
      <c r="E47">
        <v>3</v>
      </c>
      <c r="F47" t="str">
        <f t="shared" si="1"/>
        <v>METROS</v>
      </c>
    </row>
    <row r="48" spans="1:6" ht="15" customHeight="1" x14ac:dyDescent="0.25">
      <c r="A48" s="5">
        <v>126</v>
      </c>
      <c r="B48" s="3" t="s">
        <v>59</v>
      </c>
      <c r="C48" s="3" t="s">
        <v>50</v>
      </c>
      <c r="D48" s="2">
        <v>14</v>
      </c>
      <c r="F48" t="str">
        <f t="shared" si="1"/>
        <v/>
      </c>
    </row>
    <row r="49" spans="1:6" ht="15" customHeight="1" x14ac:dyDescent="0.25">
      <c r="A49" s="5">
        <v>143</v>
      </c>
      <c r="B49" s="3" t="s">
        <v>60</v>
      </c>
      <c r="C49" s="3" t="s">
        <v>26</v>
      </c>
      <c r="D49" s="2">
        <v>38</v>
      </c>
      <c r="E49">
        <v>4</v>
      </c>
      <c r="F49" t="str">
        <f t="shared" si="1"/>
        <v>REGIONALES</v>
      </c>
    </row>
    <row r="50" spans="1:6" ht="15" customHeight="1" x14ac:dyDescent="0.25">
      <c r="A50" s="5">
        <v>148</v>
      </c>
      <c r="B50" s="3" t="s">
        <v>41</v>
      </c>
      <c r="C50" s="3" t="s">
        <v>61</v>
      </c>
      <c r="D50" s="2">
        <v>21</v>
      </c>
      <c r="F50" t="str">
        <f t="shared" si="1"/>
        <v/>
      </c>
    </row>
    <row r="51" spans="1:6" ht="15" customHeight="1" x14ac:dyDescent="0.25">
      <c r="A51" s="5">
        <v>167</v>
      </c>
      <c r="B51" s="3" t="s">
        <v>62</v>
      </c>
      <c r="C51" s="3" t="s">
        <v>8</v>
      </c>
      <c r="D51" s="2">
        <v>33</v>
      </c>
      <c r="E51">
        <v>1</v>
      </c>
      <c r="F51" t="str">
        <f t="shared" si="1"/>
        <v>JUMBOS</v>
      </c>
    </row>
    <row r="52" spans="1:6" ht="15" customHeight="1" x14ac:dyDescent="0.25">
      <c r="A52" s="5">
        <v>174</v>
      </c>
      <c r="B52" s="3" t="s">
        <v>63</v>
      </c>
      <c r="C52" s="3" t="s">
        <v>3</v>
      </c>
      <c r="D52" s="2">
        <v>8</v>
      </c>
      <c r="E52">
        <v>5</v>
      </c>
      <c r="F52" t="str">
        <f t="shared" si="1"/>
        <v>COSTAS</v>
      </c>
    </row>
    <row r="53" spans="1:6" ht="15" customHeight="1" x14ac:dyDescent="0.25">
      <c r="A53" s="5">
        <v>177</v>
      </c>
      <c r="B53" s="3" t="s">
        <v>64</v>
      </c>
      <c r="C53" s="3" t="s">
        <v>3</v>
      </c>
      <c r="D53" s="2">
        <v>10</v>
      </c>
      <c r="E53">
        <v>5</v>
      </c>
      <c r="F53" t="str">
        <f t="shared" si="1"/>
        <v>COSTAS</v>
      </c>
    </row>
    <row r="54" spans="1:6" ht="15" customHeight="1" x14ac:dyDescent="0.25">
      <c r="A54" s="5">
        <v>179</v>
      </c>
      <c r="B54" s="3" t="s">
        <v>65</v>
      </c>
      <c r="C54" s="3" t="s">
        <v>26</v>
      </c>
      <c r="D54" s="2">
        <v>37</v>
      </c>
      <c r="E54">
        <v>4</v>
      </c>
      <c r="F54" t="str">
        <f t="shared" si="1"/>
        <v>REGIONALES</v>
      </c>
    </row>
    <row r="55" spans="1:6" ht="15" customHeight="1" x14ac:dyDescent="0.25">
      <c r="A55" s="5">
        <v>184</v>
      </c>
      <c r="B55" s="3" t="s">
        <v>66</v>
      </c>
      <c r="C55" s="3" t="s">
        <v>3</v>
      </c>
      <c r="D55" s="2">
        <v>9</v>
      </c>
      <c r="E55">
        <v>5</v>
      </c>
      <c r="F55" t="str">
        <f t="shared" si="1"/>
        <v>COSTAS</v>
      </c>
    </row>
    <row r="56" spans="1:6" ht="15" customHeight="1" x14ac:dyDescent="0.25">
      <c r="A56" s="5">
        <v>185</v>
      </c>
      <c r="B56" s="3" t="s">
        <v>67</v>
      </c>
      <c r="C56" s="3" t="s">
        <v>3</v>
      </c>
      <c r="D56" s="2">
        <v>1</v>
      </c>
      <c r="E56">
        <v>4</v>
      </c>
      <c r="F56" t="str">
        <f t="shared" si="1"/>
        <v>REGIONALES</v>
      </c>
    </row>
    <row r="57" spans="1:6" ht="15" customHeight="1" x14ac:dyDescent="0.25">
      <c r="A57" s="5">
        <v>186</v>
      </c>
      <c r="B57" s="3" t="s">
        <v>61</v>
      </c>
      <c r="C57" s="3" t="s">
        <v>61</v>
      </c>
      <c r="D57" s="2">
        <v>22</v>
      </c>
      <c r="E57">
        <v>6</v>
      </c>
      <c r="F57" t="str">
        <f t="shared" si="1"/>
        <v>PLATAFORMAS</v>
      </c>
    </row>
    <row r="58" spans="1:6" ht="15" customHeight="1" x14ac:dyDescent="0.25">
      <c r="A58" s="5">
        <v>187</v>
      </c>
      <c r="B58" s="3" t="s">
        <v>68</v>
      </c>
      <c r="C58" s="3" t="s">
        <v>23</v>
      </c>
      <c r="D58" s="2">
        <v>20</v>
      </c>
      <c r="E58">
        <v>6</v>
      </c>
      <c r="F58" t="str">
        <f t="shared" si="1"/>
        <v>PLATAFORMAS</v>
      </c>
    </row>
    <row r="59" spans="1:6" ht="15" customHeight="1" x14ac:dyDescent="0.25">
      <c r="A59" s="5">
        <v>191</v>
      </c>
      <c r="B59" s="3" t="s">
        <v>69</v>
      </c>
      <c r="C59" s="3" t="s">
        <v>8</v>
      </c>
      <c r="D59" s="2">
        <v>59</v>
      </c>
      <c r="E59">
        <v>1</v>
      </c>
      <c r="F59" t="str">
        <f t="shared" si="1"/>
        <v>JUMBOS</v>
      </c>
    </row>
    <row r="60" spans="1:6" ht="15" customHeight="1" x14ac:dyDescent="0.25">
      <c r="A60" s="5">
        <v>193</v>
      </c>
      <c r="B60" s="3" t="s">
        <v>70</v>
      </c>
      <c r="C60" s="3" t="s">
        <v>8</v>
      </c>
      <c r="D60" s="2">
        <v>61</v>
      </c>
      <c r="E60">
        <v>1</v>
      </c>
      <c r="F60" t="str">
        <f t="shared" si="1"/>
        <v>JUMBOS</v>
      </c>
    </row>
    <row r="61" spans="1:6" ht="15" customHeight="1" x14ac:dyDescent="0.25">
      <c r="A61" s="5">
        <v>195</v>
      </c>
      <c r="B61" s="3" t="s">
        <v>71</v>
      </c>
      <c r="C61" s="3" t="s">
        <v>72</v>
      </c>
      <c r="D61" s="4"/>
      <c r="E61">
        <v>4</v>
      </c>
      <c r="F61" t="str">
        <f t="shared" si="1"/>
        <v>REGIONALES</v>
      </c>
    </row>
    <row r="62" spans="1:6" ht="15" customHeight="1" x14ac:dyDescent="0.25">
      <c r="A62" s="5">
        <v>250</v>
      </c>
      <c r="B62" s="3" t="s">
        <v>73</v>
      </c>
      <c r="C62" s="3" t="s">
        <v>74</v>
      </c>
      <c r="D62" s="4"/>
      <c r="F62" t="str">
        <f t="shared" si="1"/>
        <v/>
      </c>
    </row>
    <row r="63" spans="1:6" ht="15" customHeight="1" x14ac:dyDescent="0.25">
      <c r="A63" s="5">
        <v>251</v>
      </c>
      <c r="B63" s="3" t="s">
        <v>75</v>
      </c>
      <c r="C63" s="3" t="s">
        <v>74</v>
      </c>
      <c r="D63" s="4"/>
      <c r="F63" t="str">
        <f t="shared" si="1"/>
        <v/>
      </c>
    </row>
    <row r="64" spans="1:6" ht="15" customHeight="1" x14ac:dyDescent="0.25">
      <c r="A64" s="5">
        <v>252</v>
      </c>
      <c r="B64" s="3" t="s">
        <v>76</v>
      </c>
      <c r="C64" s="3" t="s">
        <v>74</v>
      </c>
      <c r="D64" s="4"/>
      <c r="F64" t="str">
        <f t="shared" si="1"/>
        <v/>
      </c>
    </row>
    <row r="65" spans="1:6" ht="15" customHeight="1" x14ac:dyDescent="0.25">
      <c r="A65" s="5">
        <v>253</v>
      </c>
      <c r="B65" s="3" t="s">
        <v>77</v>
      </c>
      <c r="C65" s="3" t="s">
        <v>74</v>
      </c>
      <c r="D65" s="4"/>
      <c r="F65" t="str">
        <f t="shared" si="1"/>
        <v/>
      </c>
    </row>
    <row r="66" spans="1:6" ht="15" customHeight="1" x14ac:dyDescent="0.25">
      <c r="A66" s="5">
        <v>254</v>
      </c>
      <c r="B66" s="3" t="s">
        <v>78</v>
      </c>
      <c r="C66" s="3" t="s">
        <v>74</v>
      </c>
      <c r="D66" s="4"/>
      <c r="F66" t="str">
        <f t="shared" ref="F66:F97" si="2">IFERROR(VLOOKUP(E66,$H$2:$I$7,2,0),"")</f>
        <v/>
      </c>
    </row>
    <row r="67" spans="1:6" ht="15" customHeight="1" x14ac:dyDescent="0.25">
      <c r="A67" s="5">
        <v>255</v>
      </c>
      <c r="B67" s="3" t="s">
        <v>79</v>
      </c>
      <c r="C67" s="3" t="s">
        <v>74</v>
      </c>
      <c r="D67" s="4"/>
      <c r="F67" t="str">
        <f t="shared" si="2"/>
        <v/>
      </c>
    </row>
    <row r="68" spans="1:6" ht="15" customHeight="1" x14ac:dyDescent="0.25">
      <c r="A68" s="5">
        <v>256</v>
      </c>
      <c r="B68" s="3" t="s">
        <v>80</v>
      </c>
      <c r="C68" s="3" t="s">
        <v>74</v>
      </c>
      <c r="D68" s="4"/>
      <c r="F68" t="str">
        <f t="shared" si="2"/>
        <v/>
      </c>
    </row>
    <row r="69" spans="1:6" ht="15" customHeight="1" x14ac:dyDescent="0.25">
      <c r="A69" s="5">
        <v>257</v>
      </c>
      <c r="B69" s="3" t="s">
        <v>81</v>
      </c>
      <c r="C69" s="3" t="s">
        <v>74</v>
      </c>
      <c r="D69" s="4"/>
      <c r="F69" t="str">
        <f t="shared" si="2"/>
        <v/>
      </c>
    </row>
    <row r="70" spans="1:6" ht="15" customHeight="1" x14ac:dyDescent="0.25">
      <c r="A70" s="5">
        <v>259</v>
      </c>
      <c r="B70" s="3" t="s">
        <v>82</v>
      </c>
      <c r="C70" s="3" t="s">
        <v>74</v>
      </c>
      <c r="D70" s="4"/>
      <c r="F70" t="str">
        <f t="shared" si="2"/>
        <v/>
      </c>
    </row>
    <row r="71" spans="1:6" ht="15" customHeight="1" x14ac:dyDescent="0.25">
      <c r="A71" s="5">
        <v>260</v>
      </c>
      <c r="B71" s="3" t="s">
        <v>83</v>
      </c>
      <c r="C71" s="3" t="s">
        <v>74</v>
      </c>
      <c r="D71" s="4"/>
      <c r="F71" t="str">
        <f t="shared" si="2"/>
        <v/>
      </c>
    </row>
    <row r="72" spans="1:6" ht="15" customHeight="1" x14ac:dyDescent="0.25">
      <c r="A72" s="5">
        <v>261</v>
      </c>
      <c r="B72" s="3" t="s">
        <v>84</v>
      </c>
      <c r="C72" s="3" t="s">
        <v>74</v>
      </c>
      <c r="D72" s="4"/>
      <c r="F72" t="str">
        <f t="shared" si="2"/>
        <v/>
      </c>
    </row>
    <row r="73" spans="1:6" ht="15" customHeight="1" x14ac:dyDescent="0.25">
      <c r="A73" s="5">
        <v>262</v>
      </c>
      <c r="B73" s="3" t="s">
        <v>85</v>
      </c>
      <c r="C73" s="3" t="s">
        <v>74</v>
      </c>
      <c r="D73" s="4"/>
      <c r="F73" t="str">
        <f t="shared" si="2"/>
        <v/>
      </c>
    </row>
    <row r="74" spans="1:6" ht="15" customHeight="1" x14ac:dyDescent="0.25">
      <c r="A74" s="5">
        <v>263</v>
      </c>
      <c r="B74" s="3" t="s">
        <v>86</v>
      </c>
      <c r="C74" s="3" t="s">
        <v>74</v>
      </c>
      <c r="D74" s="4"/>
      <c r="F74" t="str">
        <f t="shared" si="2"/>
        <v/>
      </c>
    </row>
    <row r="75" spans="1:6" ht="15" customHeight="1" x14ac:dyDescent="0.25">
      <c r="A75" s="5">
        <v>264</v>
      </c>
      <c r="B75" s="3" t="s">
        <v>87</v>
      </c>
      <c r="C75" s="3" t="s">
        <v>74</v>
      </c>
      <c r="D75" s="4"/>
      <c r="F75" t="str">
        <f t="shared" si="2"/>
        <v/>
      </c>
    </row>
    <row r="76" spans="1:6" ht="15" customHeight="1" x14ac:dyDescent="0.25">
      <c r="A76" s="5">
        <v>265</v>
      </c>
      <c r="B76" s="3" t="s">
        <v>88</v>
      </c>
      <c r="C76" s="3" t="s">
        <v>74</v>
      </c>
      <c r="D76" s="4"/>
      <c r="F76" t="str">
        <f t="shared" si="2"/>
        <v/>
      </c>
    </row>
    <row r="77" spans="1:6" ht="15" customHeight="1" x14ac:dyDescent="0.25">
      <c r="A77" s="5">
        <v>266</v>
      </c>
      <c r="B77" s="3" t="s">
        <v>89</v>
      </c>
      <c r="C77" s="3" t="s">
        <v>74</v>
      </c>
      <c r="D77" s="4"/>
      <c r="F77" t="str">
        <f t="shared" si="2"/>
        <v/>
      </c>
    </row>
    <row r="78" spans="1:6" ht="15" customHeight="1" x14ac:dyDescent="0.25">
      <c r="A78" s="5">
        <v>267</v>
      </c>
      <c r="B78" s="3" t="s">
        <v>90</v>
      </c>
      <c r="C78" s="3" t="s">
        <v>74</v>
      </c>
      <c r="D78" s="4"/>
      <c r="F78" t="str">
        <f t="shared" si="2"/>
        <v/>
      </c>
    </row>
    <row r="79" spans="1:6" ht="15" customHeight="1" x14ac:dyDescent="0.25">
      <c r="A79" s="5">
        <v>268</v>
      </c>
      <c r="B79" s="3" t="s">
        <v>91</v>
      </c>
      <c r="C79" s="3" t="s">
        <v>74</v>
      </c>
      <c r="D79" s="4"/>
      <c r="F79" t="str">
        <f t="shared" si="2"/>
        <v/>
      </c>
    </row>
    <row r="80" spans="1:6" ht="15" customHeight="1" x14ac:dyDescent="0.25">
      <c r="A80" s="5">
        <v>269</v>
      </c>
      <c r="B80" s="3" t="s">
        <v>92</v>
      </c>
      <c r="C80" s="3" t="s">
        <v>74</v>
      </c>
      <c r="D80" s="4"/>
      <c r="F80" t="str">
        <f t="shared" si="2"/>
        <v/>
      </c>
    </row>
    <row r="81" spans="1:6" ht="15" customHeight="1" x14ac:dyDescent="0.25">
      <c r="A81" s="5">
        <v>270</v>
      </c>
      <c r="B81" s="3" t="s">
        <v>93</v>
      </c>
      <c r="C81" s="3" t="s">
        <v>74</v>
      </c>
      <c r="D81" s="4"/>
      <c r="F81" t="str">
        <f t="shared" si="2"/>
        <v/>
      </c>
    </row>
    <row r="82" spans="1:6" ht="15" customHeight="1" x14ac:dyDescent="0.25">
      <c r="A82" s="5">
        <v>271</v>
      </c>
      <c r="B82" s="3" t="s">
        <v>94</v>
      </c>
      <c r="C82" s="3" t="s">
        <v>74</v>
      </c>
      <c r="D82" s="4"/>
      <c r="F82" t="str">
        <f t="shared" si="2"/>
        <v/>
      </c>
    </row>
    <row r="83" spans="1:6" ht="15" customHeight="1" x14ac:dyDescent="0.25">
      <c r="A83" s="5">
        <v>272</v>
      </c>
      <c r="B83" s="3" t="s">
        <v>95</v>
      </c>
      <c r="C83" s="3" t="s">
        <v>74</v>
      </c>
      <c r="D83" s="4"/>
      <c r="F83" t="str">
        <f t="shared" si="2"/>
        <v/>
      </c>
    </row>
    <row r="84" spans="1:6" ht="15" customHeight="1" x14ac:dyDescent="0.25">
      <c r="A84" s="5">
        <v>273</v>
      </c>
      <c r="B84" s="3" t="s">
        <v>96</v>
      </c>
      <c r="C84" s="3" t="s">
        <v>74</v>
      </c>
      <c r="D84" s="4"/>
      <c r="F84" t="str">
        <f t="shared" si="2"/>
        <v/>
      </c>
    </row>
    <row r="85" spans="1:6" ht="15" customHeight="1" x14ac:dyDescent="0.25">
      <c r="A85" s="5">
        <v>274</v>
      </c>
      <c r="B85" s="3" t="s">
        <v>97</v>
      </c>
      <c r="C85" s="3" t="s">
        <v>74</v>
      </c>
      <c r="D85" s="4"/>
      <c r="F85" t="str">
        <f t="shared" si="2"/>
        <v/>
      </c>
    </row>
    <row r="86" spans="1:6" ht="15" customHeight="1" x14ac:dyDescent="0.25">
      <c r="A86" s="5">
        <v>275</v>
      </c>
      <c r="B86" s="3" t="s">
        <v>98</v>
      </c>
      <c r="C86" s="3" t="s">
        <v>74</v>
      </c>
      <c r="D86" s="4"/>
      <c r="F86" t="str">
        <f t="shared" si="2"/>
        <v/>
      </c>
    </row>
    <row r="87" spans="1:6" ht="15" customHeight="1" x14ac:dyDescent="0.25">
      <c r="A87" s="5">
        <v>276</v>
      </c>
      <c r="B87" s="3" t="s">
        <v>99</v>
      </c>
      <c r="C87" s="3" t="s">
        <v>74</v>
      </c>
      <c r="D87" s="4"/>
      <c r="F87" t="str">
        <f t="shared" si="2"/>
        <v/>
      </c>
    </row>
    <row r="88" spans="1:6" ht="15" customHeight="1" x14ac:dyDescent="0.25">
      <c r="A88" s="5">
        <v>277</v>
      </c>
      <c r="B88" s="3" t="s">
        <v>100</v>
      </c>
      <c r="C88" s="3" t="s">
        <v>74</v>
      </c>
      <c r="D88" s="4"/>
      <c r="F88" t="str">
        <f t="shared" si="2"/>
        <v/>
      </c>
    </row>
    <row r="89" spans="1:6" ht="15" customHeight="1" x14ac:dyDescent="0.25">
      <c r="A89" s="5">
        <v>278</v>
      </c>
      <c r="B89" s="3" t="s">
        <v>101</v>
      </c>
      <c r="C89" s="3" t="s">
        <v>74</v>
      </c>
      <c r="D89" s="4"/>
      <c r="F89" t="str">
        <f t="shared" si="2"/>
        <v/>
      </c>
    </row>
    <row r="90" spans="1:6" ht="15" customHeight="1" x14ac:dyDescent="0.25">
      <c r="A90" s="5">
        <v>279</v>
      </c>
      <c r="B90" s="3" t="s">
        <v>102</v>
      </c>
      <c r="C90" s="3" t="s">
        <v>74</v>
      </c>
      <c r="D90" s="4"/>
      <c r="F90" t="str">
        <f t="shared" si="2"/>
        <v/>
      </c>
    </row>
    <row r="91" spans="1:6" ht="15" customHeight="1" x14ac:dyDescent="0.25">
      <c r="A91" s="5">
        <v>280</v>
      </c>
      <c r="B91" s="3" t="s">
        <v>103</v>
      </c>
      <c r="C91" s="3" t="s">
        <v>74</v>
      </c>
      <c r="D91" s="4"/>
      <c r="F91" t="str">
        <f t="shared" si="2"/>
        <v/>
      </c>
    </row>
    <row r="92" spans="1:6" ht="15" customHeight="1" x14ac:dyDescent="0.25">
      <c r="A92" s="5">
        <v>281</v>
      </c>
      <c r="B92" s="3" t="s">
        <v>104</v>
      </c>
      <c r="C92" s="3" t="s">
        <v>74</v>
      </c>
      <c r="D92" s="4"/>
      <c r="F92" t="str">
        <f t="shared" si="2"/>
        <v/>
      </c>
    </row>
    <row r="93" spans="1:6" ht="15" customHeight="1" x14ac:dyDescent="0.25">
      <c r="A93" s="5">
        <v>282</v>
      </c>
      <c r="B93" s="3" t="s">
        <v>105</v>
      </c>
      <c r="C93" s="3" t="s">
        <v>74</v>
      </c>
      <c r="D93" s="4"/>
      <c r="F93" t="str">
        <f t="shared" si="2"/>
        <v/>
      </c>
    </row>
    <row r="94" spans="1:6" ht="15" customHeight="1" x14ac:dyDescent="0.25">
      <c r="A94" s="5">
        <v>283</v>
      </c>
      <c r="B94" s="3" t="s">
        <v>106</v>
      </c>
      <c r="C94" s="3" t="s">
        <v>74</v>
      </c>
      <c r="D94" s="4"/>
      <c r="F94" t="str">
        <f t="shared" si="2"/>
        <v/>
      </c>
    </row>
    <row r="95" spans="1:6" ht="15" customHeight="1" x14ac:dyDescent="0.25">
      <c r="A95" s="5">
        <v>284</v>
      </c>
      <c r="B95" s="3" t="s">
        <v>107</v>
      </c>
      <c r="C95" s="3" t="s">
        <v>74</v>
      </c>
      <c r="D95" s="4"/>
      <c r="F95" t="str">
        <f t="shared" si="2"/>
        <v/>
      </c>
    </row>
    <row r="96" spans="1:6" ht="15" customHeight="1" x14ac:dyDescent="0.25">
      <c r="A96" s="5">
        <v>285</v>
      </c>
      <c r="B96" s="3" t="s">
        <v>108</v>
      </c>
      <c r="C96" s="3" t="s">
        <v>74</v>
      </c>
      <c r="D96" s="4"/>
      <c r="F96" t="str">
        <f t="shared" si="2"/>
        <v/>
      </c>
    </row>
    <row r="97" spans="1:6" ht="15" customHeight="1" x14ac:dyDescent="0.25">
      <c r="A97" s="5">
        <v>286</v>
      </c>
      <c r="B97" s="3" t="s">
        <v>109</v>
      </c>
      <c r="C97" s="3" t="s">
        <v>74</v>
      </c>
      <c r="D97" s="4"/>
      <c r="F97" t="str">
        <f t="shared" si="2"/>
        <v/>
      </c>
    </row>
    <row r="98" spans="1:6" ht="15" customHeight="1" x14ac:dyDescent="0.25">
      <c r="A98" s="5">
        <v>287</v>
      </c>
      <c r="B98" s="3" t="s">
        <v>110</v>
      </c>
      <c r="C98" s="3" t="s">
        <v>74</v>
      </c>
      <c r="D98" s="4"/>
      <c r="F98" t="str">
        <f t="shared" ref="F98:F112" si="3">IFERROR(VLOOKUP(E98,$H$2:$I$7,2,0),"")</f>
        <v/>
      </c>
    </row>
    <row r="99" spans="1:6" ht="15" customHeight="1" x14ac:dyDescent="0.25">
      <c r="A99" s="5">
        <v>288</v>
      </c>
      <c r="B99" s="3" t="s">
        <v>111</v>
      </c>
      <c r="C99" s="3" t="s">
        <v>74</v>
      </c>
      <c r="D99" s="4"/>
      <c r="F99" t="str">
        <f t="shared" si="3"/>
        <v/>
      </c>
    </row>
    <row r="100" spans="1:6" ht="15" customHeight="1" x14ac:dyDescent="0.25">
      <c r="A100" s="5">
        <v>289</v>
      </c>
      <c r="B100" s="3" t="s">
        <v>112</v>
      </c>
      <c r="C100" s="3" t="s">
        <v>74</v>
      </c>
      <c r="D100" s="4"/>
      <c r="F100" t="str">
        <f t="shared" si="3"/>
        <v/>
      </c>
    </row>
    <row r="101" spans="1:6" ht="15" customHeight="1" x14ac:dyDescent="0.25">
      <c r="A101" s="5">
        <v>290</v>
      </c>
      <c r="B101" s="3" t="s">
        <v>113</v>
      </c>
      <c r="C101" s="3" t="s">
        <v>74</v>
      </c>
      <c r="D101" s="4"/>
      <c r="F101" t="str">
        <f t="shared" si="3"/>
        <v/>
      </c>
    </row>
    <row r="102" spans="1:6" ht="15" customHeight="1" x14ac:dyDescent="0.25">
      <c r="A102" s="5">
        <v>291</v>
      </c>
      <c r="B102" s="3" t="s">
        <v>114</v>
      </c>
      <c r="C102" s="3" t="s">
        <v>74</v>
      </c>
      <c r="D102" s="4"/>
      <c r="F102" t="str">
        <f t="shared" si="3"/>
        <v/>
      </c>
    </row>
    <row r="103" spans="1:6" ht="15" customHeight="1" x14ac:dyDescent="0.25">
      <c r="A103" s="5">
        <v>292</v>
      </c>
      <c r="B103" s="3" t="s">
        <v>115</v>
      </c>
      <c r="C103" s="3" t="s">
        <v>74</v>
      </c>
      <c r="D103" s="4"/>
      <c r="F103" t="str">
        <f t="shared" si="3"/>
        <v/>
      </c>
    </row>
    <row r="104" spans="1:6" ht="15" customHeight="1" x14ac:dyDescent="0.25">
      <c r="A104" s="5">
        <v>293</v>
      </c>
      <c r="B104" s="3" t="s">
        <v>116</v>
      </c>
      <c r="C104" s="3" t="s">
        <v>74</v>
      </c>
      <c r="D104" s="4"/>
      <c r="F104" t="str">
        <f t="shared" si="3"/>
        <v/>
      </c>
    </row>
    <row r="105" spans="1:6" ht="15" customHeight="1" x14ac:dyDescent="0.25">
      <c r="A105" s="5">
        <v>294</v>
      </c>
      <c r="B105" s="3" t="s">
        <v>117</v>
      </c>
      <c r="C105" s="3" t="s">
        <v>74</v>
      </c>
      <c r="D105" s="4"/>
      <c r="F105" t="str">
        <f t="shared" si="3"/>
        <v/>
      </c>
    </row>
    <row r="106" spans="1:6" ht="15" customHeight="1" x14ac:dyDescent="0.25">
      <c r="A106" s="5">
        <v>295</v>
      </c>
      <c r="B106" s="3" t="s">
        <v>118</v>
      </c>
      <c r="C106" s="3" t="s">
        <v>74</v>
      </c>
      <c r="D106" s="4"/>
      <c r="F106" t="str">
        <f t="shared" si="3"/>
        <v/>
      </c>
    </row>
    <row r="107" spans="1:6" ht="15" customHeight="1" x14ac:dyDescent="0.25">
      <c r="A107" s="5">
        <v>296</v>
      </c>
      <c r="B107" s="3" t="s">
        <v>119</v>
      </c>
      <c r="C107" s="3" t="s">
        <v>74</v>
      </c>
      <c r="D107" s="4"/>
      <c r="F107" t="str">
        <f t="shared" si="3"/>
        <v/>
      </c>
    </row>
    <row r="108" spans="1:6" ht="15" customHeight="1" x14ac:dyDescent="0.25">
      <c r="A108" s="5">
        <v>297</v>
      </c>
      <c r="B108" s="3" t="s">
        <v>66</v>
      </c>
      <c r="C108" s="3" t="s">
        <v>74</v>
      </c>
      <c r="D108" s="4"/>
      <c r="F108" t="str">
        <f t="shared" si="3"/>
        <v/>
      </c>
    </row>
    <row r="109" spans="1:6" ht="15" customHeight="1" x14ac:dyDescent="0.25">
      <c r="A109" s="5">
        <v>298</v>
      </c>
      <c r="B109" s="3" t="s">
        <v>120</v>
      </c>
      <c r="C109" s="3" t="s">
        <v>74</v>
      </c>
      <c r="D109" s="4"/>
      <c r="F109" t="str">
        <f t="shared" si="3"/>
        <v/>
      </c>
    </row>
    <row r="110" spans="1:6" ht="15" customHeight="1" x14ac:dyDescent="0.25">
      <c r="A110" s="5">
        <v>300</v>
      </c>
      <c r="B110" s="3" t="s">
        <v>121</v>
      </c>
      <c r="C110" s="3" t="s">
        <v>74</v>
      </c>
      <c r="D110" s="4"/>
      <c r="F110" t="str">
        <f t="shared" si="3"/>
        <v/>
      </c>
    </row>
    <row r="111" spans="1:6" ht="15" customHeight="1" x14ac:dyDescent="0.25">
      <c r="A111" s="5">
        <v>301</v>
      </c>
      <c r="B111" s="3" t="s">
        <v>122</v>
      </c>
      <c r="C111" s="3" t="s">
        <v>74</v>
      </c>
      <c r="D111" s="4"/>
      <c r="F111" t="str">
        <f t="shared" si="3"/>
        <v/>
      </c>
    </row>
    <row r="112" spans="1:6" ht="15" customHeight="1" x14ac:dyDescent="0.25">
      <c r="A112" s="5">
        <v>302</v>
      </c>
      <c r="B112" s="3" t="s">
        <v>123</v>
      </c>
      <c r="C112" s="3" t="s">
        <v>74</v>
      </c>
      <c r="D112" s="4"/>
      <c r="F112" t="str">
        <f t="shared" si="3"/>
        <v/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11</vt:i4>
      </vt:variant>
    </vt:vector>
  </HeadingPairs>
  <TitlesOfParts>
    <vt:vector size="14" baseType="lpstr">
      <vt:lpstr>Auditoria Despacho automatico</vt:lpstr>
      <vt:lpstr>PEGAR ACA</vt:lpstr>
      <vt:lpstr>Auditoria Recibo automatico</vt:lpstr>
      <vt:lpstr>'Auditoria Despacho automatico'!Área_de_impresión</vt:lpstr>
      <vt:lpstr>'Auditoria Recibo automatico'!Área_de_impresión</vt:lpstr>
      <vt:lpstr>'Auditoria Recibo automatico'!AUDITOR</vt:lpstr>
      <vt:lpstr>AUDITOR</vt:lpstr>
      <vt:lpstr>'Auditoria Recibo automatico'!LISTA_DE_TIENDAS</vt:lpstr>
      <vt:lpstr>LISTA_DE_TIENDAS</vt:lpstr>
      <vt:lpstr>'Auditoria Recibo automatico'!PROYECCION</vt:lpstr>
      <vt:lpstr>PROYECCION</vt:lpstr>
      <vt:lpstr>tamaño_tabla</vt:lpstr>
      <vt:lpstr>'Auditoria Recibo automatico'!TIPO_TIENDA</vt:lpstr>
      <vt:lpstr>TIPO_TIENDA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Copajita Rodriguez, Jessica Carolina</dc:creator>
  <cp:lastModifiedBy>Cristhian David Dimate Macana</cp:lastModifiedBy>
  <cp:lastPrinted>2018-09-01T18:02:29Z</cp:lastPrinted>
  <dcterms:created xsi:type="dcterms:W3CDTF">2016-04-28T17:11:49Z</dcterms:created>
  <dcterms:modified xsi:type="dcterms:W3CDTF">2018-09-01T18:11:30Z</dcterms:modified>
</cp:coreProperties>
</file>